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M:\5. Dossiers Équipe\Nans\Velogames\Saison 2024\"/>
    </mc:Choice>
  </mc:AlternateContent>
  <xr:revisionPtr revIDLastSave="0" documentId="13_ncr:1_{00216D1A-2947-466B-8CF0-86A7D36DCA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8" i="1" l="1"/>
  <c r="H78" i="1"/>
  <c r="H79" i="1"/>
  <c r="H80" i="1"/>
  <c r="H81" i="1"/>
  <c r="H82" i="1"/>
  <c r="H83" i="1"/>
  <c r="H84" i="1"/>
  <c r="H85" i="1"/>
  <c r="H86" i="1"/>
  <c r="H87" i="1"/>
  <c r="H88" i="1"/>
  <c r="H89" i="1"/>
  <c r="H77" i="1"/>
  <c r="E78" i="1"/>
  <c r="E79" i="1"/>
  <c r="E80" i="1"/>
  <c r="E81" i="1"/>
  <c r="E82" i="1"/>
  <c r="E83" i="1"/>
  <c r="E84" i="1"/>
  <c r="E85" i="1"/>
  <c r="E86" i="1"/>
  <c r="E87" i="1"/>
  <c r="E88" i="1"/>
  <c r="E89" i="1"/>
  <c r="E77" i="1"/>
  <c r="B38" i="1"/>
  <c r="C38" i="1" s="1"/>
  <c r="D38" i="1" s="1"/>
  <c r="E38" i="1" s="1"/>
  <c r="F38" i="1" s="1"/>
  <c r="G38" i="1" s="1"/>
  <c r="H38" i="1" s="1"/>
  <c r="I38" i="1" s="1"/>
  <c r="J38" i="1" s="1"/>
  <c r="K38" i="1" s="1"/>
  <c r="B39" i="1"/>
  <c r="C39" i="1" s="1"/>
  <c r="D39" i="1" s="1"/>
  <c r="E39" i="1" s="1"/>
  <c r="F39" i="1" s="1"/>
  <c r="G39" i="1" s="1"/>
  <c r="H39" i="1" s="1"/>
  <c r="I39" i="1" s="1"/>
  <c r="J39" i="1" s="1"/>
  <c r="K39" i="1" s="1"/>
  <c r="L39" i="1" s="1"/>
  <c r="B40" i="1"/>
  <c r="C40" i="1" s="1"/>
  <c r="B41" i="1"/>
  <c r="B42" i="1"/>
  <c r="B43" i="1"/>
  <c r="C43" i="1"/>
  <c r="D43" i="1" s="1"/>
  <c r="B44" i="1"/>
  <c r="C44" i="1" s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B45" i="1"/>
  <c r="C45" i="1" s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B46" i="1"/>
  <c r="B47" i="1"/>
  <c r="C47" i="1"/>
  <c r="B48" i="1"/>
  <c r="C48" i="1" s="1"/>
  <c r="D48" i="1" s="1"/>
  <c r="B49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AF9" i="1" l="1"/>
  <c r="AF13" i="1"/>
  <c r="AF5" i="1"/>
  <c r="AF11" i="1"/>
  <c r="AF7" i="1"/>
  <c r="AF16" i="1"/>
  <c r="AF8" i="1"/>
  <c r="AF10" i="1"/>
  <c r="AF12" i="1"/>
  <c r="AF14" i="1"/>
  <c r="AF6" i="1"/>
  <c r="AF15" i="1"/>
  <c r="AB8" i="1"/>
  <c r="AB9" i="1"/>
  <c r="K84" i="1"/>
  <c r="B84" i="1"/>
  <c r="E43" i="1"/>
  <c r="D40" i="1"/>
  <c r="L38" i="1"/>
  <c r="X7" i="1"/>
  <c r="Z7" i="1"/>
  <c r="AB7" i="1"/>
  <c r="C49" i="1"/>
  <c r="C46" i="1"/>
  <c r="C42" i="1"/>
  <c r="M39" i="1"/>
  <c r="X6" i="1"/>
  <c r="Z6" i="1"/>
  <c r="AB6" i="1"/>
  <c r="X5" i="1"/>
  <c r="Z5" i="1"/>
  <c r="AB5" i="1"/>
  <c r="B85" i="1"/>
  <c r="X16" i="1"/>
  <c r="N89" i="1" s="1"/>
  <c r="Z16" i="1"/>
  <c r="AB16" i="1"/>
  <c r="E48" i="1"/>
  <c r="X15" i="1"/>
  <c r="N88" i="1" s="1"/>
  <c r="Z15" i="1"/>
  <c r="AB15" i="1"/>
  <c r="X14" i="1"/>
  <c r="N87" i="1" s="1"/>
  <c r="Z14" i="1"/>
  <c r="AB14" i="1"/>
  <c r="X13" i="1"/>
  <c r="Z13" i="1"/>
  <c r="AB13" i="1"/>
  <c r="X12" i="1"/>
  <c r="Z12" i="1"/>
  <c r="AB12" i="1"/>
  <c r="D47" i="1"/>
  <c r="C41" i="1"/>
  <c r="X11" i="1"/>
  <c r="Z11" i="1"/>
  <c r="AB11" i="1"/>
  <c r="X10" i="1"/>
  <c r="Z10" i="1"/>
  <c r="AB10" i="1"/>
  <c r="X9" i="1"/>
  <c r="Z9" i="1"/>
  <c r="X8" i="1"/>
  <c r="Z8" i="1"/>
  <c r="E75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AF4" i="1" l="1"/>
  <c r="AD15" i="1"/>
  <c r="D49" i="1"/>
  <c r="E40" i="1"/>
  <c r="F48" i="1"/>
  <c r="AD10" i="1"/>
  <c r="N83" i="1"/>
  <c r="D46" i="1"/>
  <c r="AD11" i="1"/>
  <c r="N84" i="1"/>
  <c r="N78" i="1"/>
  <c r="AD5" i="1"/>
  <c r="AD9" i="1"/>
  <c r="N82" i="1"/>
  <c r="AD13" i="1"/>
  <c r="N86" i="1"/>
  <c r="AD16" i="1"/>
  <c r="D41" i="1"/>
  <c r="AD7" i="1"/>
  <c r="N80" i="1"/>
  <c r="AD8" i="1"/>
  <c r="N81" i="1"/>
  <c r="N79" i="1"/>
  <c r="AD6" i="1"/>
  <c r="M38" i="1"/>
  <c r="F43" i="1"/>
  <c r="AD12" i="1"/>
  <c r="N85" i="1"/>
  <c r="N39" i="1"/>
  <c r="E47" i="1"/>
  <c r="AD14" i="1"/>
  <c r="D42" i="1"/>
  <c r="F47" i="1" l="1"/>
  <c r="O39" i="1"/>
  <c r="E41" i="1"/>
  <c r="E46" i="1"/>
  <c r="G43" i="1"/>
  <c r="G48" i="1"/>
  <c r="E42" i="1"/>
  <c r="N38" i="1"/>
  <c r="F40" i="1"/>
  <c r="E49" i="1"/>
  <c r="B4" i="1"/>
  <c r="F49" i="1" l="1"/>
  <c r="F46" i="1"/>
  <c r="F41" i="1"/>
  <c r="H48" i="1"/>
  <c r="O38" i="1"/>
  <c r="P39" i="1"/>
  <c r="H43" i="1"/>
  <c r="G40" i="1"/>
  <c r="F42" i="1"/>
  <c r="G47" i="1"/>
  <c r="AF18" i="1"/>
  <c r="B37" i="1"/>
  <c r="P38" i="1" l="1"/>
  <c r="H47" i="1"/>
  <c r="I48" i="1"/>
  <c r="B55" i="1"/>
  <c r="B59" i="1"/>
  <c r="B58" i="1"/>
  <c r="B63" i="1"/>
  <c r="B62" i="1"/>
  <c r="B54" i="1"/>
  <c r="B61" i="1"/>
  <c r="B64" i="1"/>
  <c r="B60" i="1"/>
  <c r="B57" i="1"/>
  <c r="B56" i="1"/>
  <c r="B53" i="1"/>
  <c r="G41" i="1"/>
  <c r="H40" i="1"/>
  <c r="G46" i="1"/>
  <c r="Q39" i="1"/>
  <c r="G49" i="1"/>
  <c r="G42" i="1"/>
  <c r="I43" i="1"/>
  <c r="C37" i="1"/>
  <c r="B52" i="1"/>
  <c r="Z4" i="1"/>
  <c r="Z18" i="1" s="1"/>
  <c r="AB4" i="1"/>
  <c r="AB18" i="1" s="1"/>
  <c r="X4" i="1"/>
  <c r="H46" i="1" l="1"/>
  <c r="C63" i="1"/>
  <c r="C58" i="1"/>
  <c r="C59" i="1"/>
  <c r="C53" i="1"/>
  <c r="C60" i="1"/>
  <c r="C54" i="1"/>
  <c r="C55" i="1"/>
  <c r="C62" i="1"/>
  <c r="C64" i="1"/>
  <c r="C57" i="1"/>
  <c r="C56" i="1"/>
  <c r="C61" i="1"/>
  <c r="I40" i="1"/>
  <c r="J43" i="1"/>
  <c r="H41" i="1"/>
  <c r="H42" i="1"/>
  <c r="J48" i="1"/>
  <c r="H49" i="1"/>
  <c r="I47" i="1"/>
  <c r="R39" i="1"/>
  <c r="Q38" i="1"/>
  <c r="X18" i="1"/>
  <c r="N75" i="1" s="1"/>
  <c r="N77" i="1"/>
  <c r="D37" i="1"/>
  <c r="C52" i="1"/>
  <c r="AD4" i="1"/>
  <c r="AD18" i="1" s="1"/>
  <c r="D59" i="1" l="1"/>
  <c r="D53" i="1"/>
  <c r="D58" i="1"/>
  <c r="D63" i="1"/>
  <c r="D60" i="1"/>
  <c r="D54" i="1"/>
  <c r="D62" i="1"/>
  <c r="D55" i="1"/>
  <c r="D57" i="1"/>
  <c r="D64" i="1"/>
  <c r="D56" i="1"/>
  <c r="D61" i="1"/>
  <c r="K48" i="1"/>
  <c r="I42" i="1"/>
  <c r="R38" i="1"/>
  <c r="I41" i="1"/>
  <c r="S39" i="1"/>
  <c r="K43" i="1"/>
  <c r="J47" i="1"/>
  <c r="J40" i="1"/>
  <c r="I49" i="1"/>
  <c r="I46" i="1"/>
  <c r="E37" i="1"/>
  <c r="D52" i="1"/>
  <c r="J49" i="1" l="1"/>
  <c r="L43" i="1"/>
  <c r="E53" i="1"/>
  <c r="E59" i="1"/>
  <c r="E54" i="1"/>
  <c r="E60" i="1"/>
  <c r="E63" i="1"/>
  <c r="E58" i="1"/>
  <c r="E62" i="1"/>
  <c r="E55" i="1"/>
  <c r="E64" i="1"/>
  <c r="E57" i="1"/>
  <c r="E61" i="1"/>
  <c r="E56" i="1"/>
  <c r="T39" i="1"/>
  <c r="J46" i="1"/>
  <c r="J41" i="1"/>
  <c r="S38" i="1"/>
  <c r="K40" i="1"/>
  <c r="J42" i="1"/>
  <c r="K47" i="1"/>
  <c r="L48" i="1"/>
  <c r="F37" i="1"/>
  <c r="E52" i="1"/>
  <c r="F53" i="1" l="1"/>
  <c r="F59" i="1"/>
  <c r="F60" i="1"/>
  <c r="F54" i="1"/>
  <c r="F63" i="1"/>
  <c r="F58" i="1"/>
  <c r="F55" i="1"/>
  <c r="F62" i="1"/>
  <c r="F64" i="1"/>
  <c r="F57" i="1"/>
  <c r="F61" i="1"/>
  <c r="F56" i="1"/>
  <c r="K42" i="1"/>
  <c r="M48" i="1"/>
  <c r="U39" i="1"/>
  <c r="K49" i="1"/>
  <c r="T38" i="1"/>
  <c r="K41" i="1"/>
  <c r="K46" i="1"/>
  <c r="L47" i="1"/>
  <c r="M43" i="1"/>
  <c r="L40" i="1"/>
  <c r="F52" i="1"/>
  <c r="G37" i="1"/>
  <c r="L41" i="1" l="1"/>
  <c r="G53" i="1"/>
  <c r="G59" i="1"/>
  <c r="G60" i="1"/>
  <c r="G54" i="1"/>
  <c r="G58" i="1"/>
  <c r="G63" i="1"/>
  <c r="G62" i="1"/>
  <c r="G55" i="1"/>
  <c r="G64" i="1"/>
  <c r="G61" i="1"/>
  <c r="G56" i="1"/>
  <c r="G57" i="1"/>
  <c r="U38" i="1"/>
  <c r="M40" i="1"/>
  <c r="L49" i="1"/>
  <c r="V39" i="1"/>
  <c r="N43" i="1"/>
  <c r="M47" i="1"/>
  <c r="N48" i="1"/>
  <c r="L46" i="1"/>
  <c r="L42" i="1"/>
  <c r="H37" i="1"/>
  <c r="G52" i="1"/>
  <c r="O43" i="1" l="1"/>
  <c r="H60" i="1"/>
  <c r="H59" i="1"/>
  <c r="H54" i="1"/>
  <c r="H53" i="1"/>
  <c r="H63" i="1"/>
  <c r="H58" i="1"/>
  <c r="H62" i="1"/>
  <c r="H55" i="1"/>
  <c r="H57" i="1"/>
  <c r="H64" i="1"/>
  <c r="H56" i="1"/>
  <c r="H61" i="1"/>
  <c r="M42" i="1"/>
  <c r="M49" i="1"/>
  <c r="N40" i="1"/>
  <c r="O48" i="1"/>
  <c r="V38" i="1"/>
  <c r="M46" i="1"/>
  <c r="N47" i="1"/>
  <c r="M41" i="1"/>
  <c r="I37" i="1"/>
  <c r="H52" i="1"/>
  <c r="O47" i="1" l="1"/>
  <c r="P48" i="1"/>
  <c r="I54" i="1"/>
  <c r="I60" i="1"/>
  <c r="I59" i="1"/>
  <c r="I53" i="1"/>
  <c r="I58" i="1"/>
  <c r="I63" i="1"/>
  <c r="I62" i="1"/>
  <c r="I55" i="1"/>
  <c r="I64" i="1"/>
  <c r="I57" i="1"/>
  <c r="I61" i="1"/>
  <c r="I56" i="1"/>
  <c r="O40" i="1"/>
  <c r="N41" i="1"/>
  <c r="N49" i="1"/>
  <c r="N42" i="1"/>
  <c r="N46" i="1"/>
  <c r="B79" i="1"/>
  <c r="AB39" i="1"/>
  <c r="P43" i="1"/>
  <c r="J37" i="1"/>
  <c r="I52" i="1"/>
  <c r="O42" i="1" l="1"/>
  <c r="J53" i="1"/>
  <c r="J59" i="1"/>
  <c r="J54" i="1"/>
  <c r="J60" i="1"/>
  <c r="J63" i="1"/>
  <c r="J58" i="1"/>
  <c r="J55" i="1"/>
  <c r="J62" i="1"/>
  <c r="J57" i="1"/>
  <c r="J61" i="1"/>
  <c r="J64" i="1"/>
  <c r="J56" i="1"/>
  <c r="O49" i="1"/>
  <c r="Q43" i="1"/>
  <c r="O41" i="1"/>
  <c r="B78" i="1"/>
  <c r="K78" i="1"/>
  <c r="P40" i="1"/>
  <c r="Q48" i="1"/>
  <c r="O46" i="1"/>
  <c r="P47" i="1"/>
  <c r="K37" i="1"/>
  <c r="J52" i="1"/>
  <c r="Q40" i="1" l="1"/>
  <c r="R43" i="1"/>
  <c r="P46" i="1"/>
  <c r="K59" i="1"/>
  <c r="K53" i="1"/>
  <c r="K60" i="1"/>
  <c r="K54" i="1"/>
  <c r="K58" i="1"/>
  <c r="K63" i="1"/>
  <c r="K62" i="1"/>
  <c r="K55" i="1"/>
  <c r="K56" i="1"/>
  <c r="K64" i="1"/>
  <c r="K57" i="1"/>
  <c r="K61" i="1"/>
  <c r="P41" i="1"/>
  <c r="P49" i="1"/>
  <c r="Q47" i="1"/>
  <c r="R48" i="1"/>
  <c r="P42" i="1"/>
  <c r="L37" i="1"/>
  <c r="K52" i="1"/>
  <c r="R47" i="1" l="1"/>
  <c r="Q41" i="1"/>
  <c r="Q49" i="1"/>
  <c r="L60" i="1"/>
  <c r="L54" i="1"/>
  <c r="L59" i="1"/>
  <c r="L53" i="1"/>
  <c r="L63" i="1"/>
  <c r="L58" i="1"/>
  <c r="L62" i="1"/>
  <c r="L55" i="1"/>
  <c r="L61" i="1"/>
  <c r="L64" i="1"/>
  <c r="L56" i="1"/>
  <c r="L57" i="1"/>
  <c r="Q46" i="1"/>
  <c r="Q42" i="1"/>
  <c r="S43" i="1"/>
  <c r="S48" i="1"/>
  <c r="R40" i="1"/>
  <c r="M37" i="1"/>
  <c r="L52" i="1"/>
  <c r="T43" i="1" l="1"/>
  <c r="R42" i="1"/>
  <c r="R46" i="1"/>
  <c r="R49" i="1"/>
  <c r="R41" i="1"/>
  <c r="S40" i="1"/>
  <c r="M59" i="1"/>
  <c r="M60" i="1"/>
  <c r="M54" i="1"/>
  <c r="M53" i="1"/>
  <c r="M63" i="1"/>
  <c r="M58" i="1"/>
  <c r="M62" i="1"/>
  <c r="M55" i="1"/>
  <c r="M61" i="1"/>
  <c r="M56" i="1"/>
  <c r="M64" i="1"/>
  <c r="M57" i="1"/>
  <c r="T48" i="1"/>
  <c r="S47" i="1"/>
  <c r="N37" i="1"/>
  <c r="M52" i="1"/>
  <c r="S49" i="1" l="1"/>
  <c r="T40" i="1"/>
  <c r="S41" i="1"/>
  <c r="N59" i="1"/>
  <c r="N60" i="1"/>
  <c r="N54" i="1"/>
  <c r="N53" i="1"/>
  <c r="N58" i="1"/>
  <c r="N63" i="1"/>
  <c r="N62" i="1"/>
  <c r="N55" i="1"/>
  <c r="N57" i="1"/>
  <c r="N64" i="1"/>
  <c r="N61" i="1"/>
  <c r="N56" i="1"/>
  <c r="S46" i="1"/>
  <c r="T47" i="1"/>
  <c r="S42" i="1"/>
  <c r="U48" i="1"/>
  <c r="U43" i="1"/>
  <c r="O37" i="1"/>
  <c r="N52" i="1"/>
  <c r="T42" i="1" l="1"/>
  <c r="U47" i="1"/>
  <c r="T46" i="1"/>
  <c r="O60" i="1"/>
  <c r="O59" i="1"/>
  <c r="O54" i="1"/>
  <c r="O53" i="1"/>
  <c r="O63" i="1"/>
  <c r="O58" i="1"/>
  <c r="O55" i="1"/>
  <c r="O62" i="1"/>
  <c r="O57" i="1"/>
  <c r="O61" i="1"/>
  <c r="O56" i="1"/>
  <c r="O64" i="1"/>
  <c r="T41" i="1"/>
  <c r="V43" i="1"/>
  <c r="U40" i="1"/>
  <c r="V48" i="1"/>
  <c r="T49" i="1"/>
  <c r="P37" i="1"/>
  <c r="O52" i="1"/>
  <c r="V40" i="1" l="1"/>
  <c r="U41" i="1"/>
  <c r="P59" i="1"/>
  <c r="P60" i="1"/>
  <c r="P54" i="1"/>
  <c r="P53" i="1"/>
  <c r="P63" i="1"/>
  <c r="P58" i="1"/>
  <c r="P55" i="1"/>
  <c r="P62" i="1"/>
  <c r="P56" i="1"/>
  <c r="P64" i="1"/>
  <c r="P61" i="1"/>
  <c r="P57" i="1"/>
  <c r="U46" i="1"/>
  <c r="U49" i="1"/>
  <c r="V47" i="1"/>
  <c r="W48" i="1"/>
  <c r="U42" i="1"/>
  <c r="Q37" i="1"/>
  <c r="P52" i="1"/>
  <c r="Q59" i="1" l="1"/>
  <c r="Q60" i="1"/>
  <c r="Q54" i="1"/>
  <c r="Q53" i="1"/>
  <c r="Q63" i="1"/>
  <c r="Q58" i="1"/>
  <c r="Q62" i="1"/>
  <c r="Q55" i="1"/>
  <c r="Q57" i="1"/>
  <c r="Q61" i="1"/>
  <c r="Q64" i="1"/>
  <c r="Q56" i="1"/>
  <c r="V42" i="1"/>
  <c r="B88" i="1"/>
  <c r="K88" i="1"/>
  <c r="B83" i="1"/>
  <c r="W47" i="1"/>
  <c r="V49" i="1"/>
  <c r="V46" i="1"/>
  <c r="V41" i="1"/>
  <c r="R37" i="1"/>
  <c r="Q52" i="1"/>
  <c r="B87" i="1" l="1"/>
  <c r="B80" i="1"/>
  <c r="R59" i="1"/>
  <c r="R60" i="1"/>
  <c r="R54" i="1"/>
  <c r="R53" i="1"/>
  <c r="R63" i="1"/>
  <c r="R58" i="1"/>
  <c r="R62" i="1"/>
  <c r="R55" i="1"/>
  <c r="R64" i="1"/>
  <c r="R56" i="1"/>
  <c r="R57" i="1"/>
  <c r="R61" i="1"/>
  <c r="W46" i="1"/>
  <c r="W49" i="1"/>
  <c r="S37" i="1"/>
  <c r="R52" i="1"/>
  <c r="AB38" i="1" l="1"/>
  <c r="AB37" i="1"/>
  <c r="B82" i="1"/>
  <c r="K82" i="1"/>
  <c r="B81" i="1"/>
  <c r="B89" i="1"/>
  <c r="K89" i="1"/>
  <c r="B86" i="1"/>
  <c r="S59" i="1"/>
  <c r="S60" i="1"/>
  <c r="S54" i="1"/>
  <c r="S53" i="1"/>
  <c r="S58" i="1"/>
  <c r="S63" i="1"/>
  <c r="S55" i="1"/>
  <c r="S62" i="1"/>
  <c r="S64" i="1"/>
  <c r="S57" i="1"/>
  <c r="S61" i="1"/>
  <c r="S56" i="1"/>
  <c r="T37" i="1"/>
  <c r="S52" i="1"/>
  <c r="K75" i="1" l="1"/>
  <c r="T60" i="1"/>
  <c r="T59" i="1"/>
  <c r="T54" i="1"/>
  <c r="T53" i="1"/>
  <c r="T63" i="1"/>
  <c r="T58" i="1"/>
  <c r="T62" i="1"/>
  <c r="T55" i="1"/>
  <c r="T57" i="1"/>
  <c r="T56" i="1"/>
  <c r="T64" i="1"/>
  <c r="T61" i="1"/>
  <c r="H75" i="1"/>
  <c r="U37" i="1"/>
  <c r="T52" i="1"/>
  <c r="U60" i="1" l="1"/>
  <c r="U59" i="1"/>
  <c r="U54" i="1"/>
  <c r="U53" i="1"/>
  <c r="U58" i="1"/>
  <c r="U63" i="1"/>
  <c r="U55" i="1"/>
  <c r="U62" i="1"/>
  <c r="U64" i="1"/>
  <c r="U57" i="1"/>
  <c r="U61" i="1"/>
  <c r="U56" i="1"/>
  <c r="V37" i="1"/>
  <c r="U52" i="1"/>
  <c r="V59" i="1" l="1"/>
  <c r="V60" i="1"/>
  <c r="V54" i="1"/>
  <c r="V53" i="1"/>
  <c r="V63" i="1"/>
  <c r="V58" i="1"/>
  <c r="V55" i="1"/>
  <c r="V62" i="1"/>
  <c r="V61" i="1"/>
  <c r="V64" i="1"/>
  <c r="V56" i="1"/>
  <c r="V57" i="1"/>
  <c r="W37" i="1"/>
  <c r="V52" i="1"/>
  <c r="W59" i="1" l="1"/>
  <c r="W60" i="1"/>
  <c r="W54" i="1"/>
  <c r="W53" i="1"/>
  <c r="W63" i="1"/>
  <c r="W58" i="1"/>
  <c r="W62" i="1"/>
  <c r="W55" i="1"/>
  <c r="W57" i="1"/>
  <c r="W56" i="1"/>
  <c r="W64" i="1"/>
  <c r="W61" i="1"/>
  <c r="B77" i="1"/>
  <c r="B75" i="1" s="1"/>
  <c r="W52" i="1"/>
</calcChain>
</file>

<file path=xl/sharedStrings.xml><?xml version="1.0" encoding="utf-8"?>
<sst xmlns="http://schemas.openxmlformats.org/spreadsheetml/2006/main" count="468" uniqueCount="103">
  <si>
    <t>Étape 1</t>
  </si>
  <si>
    <t>Étape 2</t>
  </si>
  <si>
    <t>Étape 3</t>
  </si>
  <si>
    <t>Étape 4</t>
  </si>
  <si>
    <t>Étape 5</t>
  </si>
  <si>
    <t>Nans</t>
  </si>
  <si>
    <t>1ère place</t>
  </si>
  <si>
    <t>2ème place</t>
  </si>
  <si>
    <t>3ème place</t>
  </si>
  <si>
    <t>Dernière place</t>
  </si>
  <si>
    <t>PODIUMS</t>
  </si>
  <si>
    <t>Agathe</t>
  </si>
  <si>
    <t>Fin de Course</t>
  </si>
  <si>
    <t>Études</t>
  </si>
  <si>
    <t>Sales</t>
  </si>
  <si>
    <t>Charles</t>
  </si>
  <si>
    <t>Damien</t>
  </si>
  <si>
    <t>David</t>
  </si>
  <si>
    <t>Produit</t>
  </si>
  <si>
    <t>Étape 6</t>
  </si>
  <si>
    <t>Étape 7</t>
  </si>
  <si>
    <t>Étape 8</t>
  </si>
  <si>
    <t>Étape 9</t>
  </si>
  <si>
    <t>Étape 10</t>
  </si>
  <si>
    <t>Étape 11</t>
  </si>
  <si>
    <t>Étape 12</t>
  </si>
  <si>
    <t>Étape 13</t>
  </si>
  <si>
    <t>Étape 14</t>
  </si>
  <si>
    <t>Étape 15</t>
  </si>
  <si>
    <t>Étape 16</t>
  </si>
  <si>
    <t>Étape 17</t>
  </si>
  <si>
    <t>Étape 18</t>
  </si>
  <si>
    <t>Étape 19</t>
  </si>
  <si>
    <t>Étape 20</t>
  </si>
  <si>
    <t>Étape 21</t>
  </si>
  <si>
    <t>Pierre</t>
  </si>
  <si>
    <t>Abandons</t>
  </si>
  <si>
    <t>Émilien</t>
  </si>
  <si>
    <t>Chloé</t>
  </si>
  <si>
    <t>Quentin Moine</t>
  </si>
  <si>
    <t>Quentin Magne</t>
  </si>
  <si>
    <t>Coureur</t>
  </si>
  <si>
    <t>Général 1</t>
  </si>
  <si>
    <t>Général 2</t>
  </si>
  <si>
    <t>Grimpeur 1</t>
  </si>
  <si>
    <t>Grimpeur 2</t>
  </si>
  <si>
    <t>Sprinteur</t>
  </si>
  <si>
    <t>Autre 1</t>
  </si>
  <si>
    <t>Autre 2</t>
  </si>
  <si>
    <t>Autre 3</t>
  </si>
  <si>
    <t>Wild Card</t>
  </si>
  <si>
    <t>Coureurs</t>
  </si>
  <si>
    <t>D Bais</t>
  </si>
  <si>
    <t>Ganna</t>
  </si>
  <si>
    <t>Groves</t>
  </si>
  <si>
    <t>Baptiste</t>
  </si>
  <si>
    <t>Alexandre</t>
  </si>
  <si>
    <t>Orlane</t>
  </si>
  <si>
    <t>Julien</t>
  </si>
  <si>
    <t>Pogacar</t>
  </si>
  <si>
    <t>Vansevenant</t>
  </si>
  <si>
    <t>Martinez</t>
  </si>
  <si>
    <t>Zana</t>
  </si>
  <si>
    <t>Milan</t>
  </si>
  <si>
    <t>Baudin</t>
  </si>
  <si>
    <t>Tiberi</t>
  </si>
  <si>
    <t>Oconnor</t>
  </si>
  <si>
    <t>Lopez</t>
  </si>
  <si>
    <t>Andresen</t>
  </si>
  <si>
    <t>Novak</t>
  </si>
  <si>
    <t>Carr</t>
  </si>
  <si>
    <t>Bardet</t>
  </si>
  <si>
    <t>Uijtdebroeks</t>
  </si>
  <si>
    <t>Bjerg</t>
  </si>
  <si>
    <t>Cerny</t>
  </si>
  <si>
    <t>Pithie</t>
  </si>
  <si>
    <t>Rubio</t>
  </si>
  <si>
    <t>Lipowitz</t>
  </si>
  <si>
    <t>Kooij</t>
  </si>
  <si>
    <t>Piganzoli</t>
  </si>
  <si>
    <t>Dekker</t>
  </si>
  <si>
    <t>A Paret-Peintre</t>
  </si>
  <si>
    <t>Frigo</t>
  </si>
  <si>
    <t>Lonardi</t>
  </si>
  <si>
    <t>Davy</t>
  </si>
  <si>
    <t>Sutterlin</t>
  </si>
  <si>
    <t>Vermarke</t>
  </si>
  <si>
    <t>Sheffield</t>
  </si>
  <si>
    <t>V Paret-Peintre</t>
  </si>
  <si>
    <t>Lipowitez</t>
  </si>
  <si>
    <t>Frio</t>
  </si>
  <si>
    <t>Bayer</t>
  </si>
  <si>
    <t>Covili</t>
  </si>
  <si>
    <t>Alaphilippe</t>
  </si>
  <si>
    <t>Bahaus</t>
  </si>
  <si>
    <t>Friggo</t>
  </si>
  <si>
    <t>Van Poppel</t>
  </si>
  <si>
    <t>Arenseman</t>
  </si>
  <si>
    <t>Pellizari</t>
  </si>
  <si>
    <t>Plapp</t>
  </si>
  <si>
    <t>Majka</t>
  </si>
  <si>
    <t>Van Dijke</t>
  </si>
  <si>
    <t>Arensman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</si>
</sst>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A517E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trike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517E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1" fillId="7" borderId="1" xfId="0" applyFont="1" applyFill="1" applyBorder="1"/>
    <xf numFmtId="0" fontId="1" fillId="0" borderId="0" xfId="0" applyFont="1"/>
    <xf numFmtId="0" fontId="6" fillId="0" borderId="0" xfId="0" applyFont="1"/>
    <xf numFmtId="0" fontId="5" fillId="0" borderId="0" xfId="0" applyFont="1"/>
    <xf numFmtId="164" fontId="0" fillId="0" borderId="0" xfId="1" applyNumberFormat="1" applyFont="1" applyFill="1" applyBorder="1"/>
    <xf numFmtId="0" fontId="7" fillId="7" borderId="1" xfId="0" applyFont="1" applyFill="1" applyBorder="1"/>
    <xf numFmtId="164" fontId="0" fillId="0" borderId="0" xfId="1" applyNumberFormat="1" applyFont="1" applyFill="1" applyBorder="1" applyProtection="1"/>
    <xf numFmtId="0" fontId="2" fillId="7" borderId="8" xfId="0" applyFont="1" applyFill="1" applyBorder="1"/>
    <xf numFmtId="0" fontId="1" fillId="7" borderId="8" xfId="0" applyFont="1" applyFill="1" applyBorder="1"/>
    <xf numFmtId="0" fontId="2" fillId="7" borderId="11" xfId="0" applyFont="1" applyFill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5" fillId="8" borderId="1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2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5" fillId="8" borderId="12" xfId="0" applyFont="1" applyFill="1" applyBorder="1"/>
    <xf numFmtId="0" fontId="0" fillId="7" borderId="13" xfId="0" applyFill="1" applyBorder="1"/>
    <xf numFmtId="1" fontId="0" fillId="0" borderId="14" xfId="0" applyNumberFormat="1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2" fillId="7" borderId="16" xfId="0" applyFont="1" applyFill="1" applyBorder="1"/>
    <xf numFmtId="0" fontId="1" fillId="7" borderId="20" xfId="0" applyFont="1" applyFill="1" applyBorder="1"/>
    <xf numFmtId="0" fontId="0" fillId="7" borderId="8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7" borderId="17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5" fillId="8" borderId="0" xfId="0" applyFont="1" applyFill="1"/>
    <xf numFmtId="0" fontId="6" fillId="7" borderId="0" xfId="0" applyFont="1" applyFill="1"/>
    <xf numFmtId="0" fontId="0" fillId="0" borderId="33" xfId="0" applyBorder="1" applyAlignment="1">
      <alignment horizontal="center" vertical="center"/>
    </xf>
    <xf numFmtId="0" fontId="2" fillId="7" borderId="34" xfId="0" applyFont="1" applyFill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7" fillId="7" borderId="7" xfId="0" applyFont="1" applyFill="1" applyBorder="1"/>
    <xf numFmtId="0" fontId="7" fillId="7" borderId="9" xfId="0" applyFont="1" applyFill="1" applyBorder="1"/>
    <xf numFmtId="1" fontId="0" fillId="0" borderId="16" xfId="0" applyNumberFormat="1" applyBorder="1"/>
    <xf numFmtId="1" fontId="0" fillId="0" borderId="17" xfId="0" applyNumberForma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15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1" tint="4.9989318521683403E-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00FFFF"/>
      <color rgb="FFFF99FF"/>
      <color rgb="FFEA51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Feuil1!$A$52</c:f>
              <c:strCache>
                <c:ptCount val="1"/>
                <c:pt idx="0">
                  <c:v>Pierre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Feuil1!$B$52:$W$52</c:f>
              <c:numCache>
                <c:formatCode>0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A0-4A2A-9873-746CAC324ECE}"/>
            </c:ext>
          </c:extLst>
        </c:ser>
        <c:ser>
          <c:idx val="1"/>
          <c:order val="1"/>
          <c:tx>
            <c:strRef>
              <c:f>Feuil1!$A$53</c:f>
              <c:strCache>
                <c:ptCount val="1"/>
                <c:pt idx="0">
                  <c:v>Baptiste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Feuil1!$B$53:$W$53</c:f>
              <c:numCache>
                <c:formatCode>0</c:formatCode>
                <c:ptCount val="2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A0-4A2A-9873-746CAC324ECE}"/>
            </c:ext>
          </c:extLst>
        </c:ser>
        <c:ser>
          <c:idx val="2"/>
          <c:order val="2"/>
          <c:tx>
            <c:strRef>
              <c:f>Feuil1!$A$54</c:f>
              <c:strCache>
                <c:ptCount val="1"/>
                <c:pt idx="0">
                  <c:v>Damien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Feuil1!$B$54:$W$54</c:f>
              <c:numCache>
                <c:formatCode>0</c:formatCode>
                <c:ptCount val="22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A0-4A2A-9873-746CAC324ECE}"/>
            </c:ext>
          </c:extLst>
        </c:ser>
        <c:ser>
          <c:idx val="3"/>
          <c:order val="3"/>
          <c:tx>
            <c:strRef>
              <c:f>Feuil1!$A$55</c:f>
              <c:strCache>
                <c:ptCount val="1"/>
                <c:pt idx="0">
                  <c:v>Agathe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Feuil1!$B$55:$W$55</c:f>
              <c:numCache>
                <c:formatCode>0</c:formatCode>
                <c:ptCount val="22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11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A0-4A2A-9873-746CAC324ECE}"/>
            </c:ext>
          </c:extLst>
        </c:ser>
        <c:ser>
          <c:idx val="4"/>
          <c:order val="4"/>
          <c:tx>
            <c:strRef>
              <c:f>Feuil1!$A$56</c:f>
              <c:strCache>
                <c:ptCount val="1"/>
                <c:pt idx="0">
                  <c:v>Émilien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Feuil1!$B$56:$W$56</c:f>
              <c:numCache>
                <c:formatCode>0</c:formatCode>
                <c:ptCount val="22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A0-4A2A-9873-746CAC324ECE}"/>
            </c:ext>
          </c:extLst>
        </c:ser>
        <c:ser>
          <c:idx val="5"/>
          <c:order val="5"/>
          <c:tx>
            <c:strRef>
              <c:f>Feuil1!$A$57</c:f>
              <c:strCache>
                <c:ptCount val="1"/>
                <c:pt idx="0">
                  <c:v>David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Feuil1!$B$57:$W$57</c:f>
              <c:numCache>
                <c:formatCode>0</c:formatCode>
                <c:ptCount val="22"/>
                <c:pt idx="0">
                  <c:v>11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11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A0-4A2A-9873-746CAC324ECE}"/>
            </c:ext>
          </c:extLst>
        </c:ser>
        <c:ser>
          <c:idx val="6"/>
          <c:order val="6"/>
          <c:tx>
            <c:strRef>
              <c:f>Feuil1!$A$58</c:f>
              <c:strCache>
                <c:ptCount val="1"/>
                <c:pt idx="0">
                  <c:v>Quentin Moine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Feuil1!$B$58:$W$58</c:f>
              <c:numCache>
                <c:formatCode>0</c:formatCode>
                <c:ptCount val="22"/>
                <c:pt idx="0">
                  <c:v>2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A0-4A2A-9873-746CAC324ECE}"/>
            </c:ext>
          </c:extLst>
        </c:ser>
        <c:ser>
          <c:idx val="7"/>
          <c:order val="7"/>
          <c:tx>
            <c:strRef>
              <c:f>Feuil1!$A$59</c:f>
              <c:strCache>
                <c:ptCount val="1"/>
                <c:pt idx="0">
                  <c:v>Alexandre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Feuil1!$B$59:$W$59</c:f>
              <c:numCache>
                <c:formatCode>0</c:formatCode>
                <c:ptCount val="22"/>
                <c:pt idx="0">
                  <c:v>8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11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A0-4A2A-9873-746CAC324ECE}"/>
            </c:ext>
          </c:extLst>
        </c:ser>
        <c:ser>
          <c:idx val="8"/>
          <c:order val="8"/>
          <c:tx>
            <c:strRef>
              <c:f>Feuil1!$A$60</c:f>
              <c:strCache>
                <c:ptCount val="1"/>
                <c:pt idx="0">
                  <c:v>Nans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Feuil1!$B$60:$W$60</c:f>
              <c:numCache>
                <c:formatCode>0</c:formatCode>
                <c:ptCount val="22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A0-4A2A-9873-746CAC324ECE}"/>
            </c:ext>
          </c:extLst>
        </c:ser>
        <c:ser>
          <c:idx val="9"/>
          <c:order val="9"/>
          <c:tx>
            <c:strRef>
              <c:f>Feuil1!$A$61</c:f>
              <c:strCache>
                <c:ptCount val="1"/>
                <c:pt idx="0">
                  <c:v>Charles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Feuil1!$B$61:$W$61</c:f>
              <c:numCache>
                <c:formatCode>0</c:formatCode>
                <c:ptCount val="22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11</c:v>
                </c:pt>
                <c:pt idx="8">
                  <c:v>10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A0-4A2A-9873-746CAC324ECE}"/>
            </c:ext>
          </c:extLst>
        </c:ser>
        <c:ser>
          <c:idx val="10"/>
          <c:order val="10"/>
          <c:tx>
            <c:strRef>
              <c:f>Feuil1!$A$62</c:f>
              <c:strCache>
                <c:ptCount val="1"/>
                <c:pt idx="0">
                  <c:v>Orlane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Feuil1!$B$62:$W$62</c:f>
              <c:numCache>
                <c:formatCode>0</c:formatCode>
                <c:ptCount val="22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A0-4A2A-9873-746CAC324ECE}"/>
            </c:ext>
          </c:extLst>
        </c:ser>
        <c:ser>
          <c:idx val="11"/>
          <c:order val="11"/>
          <c:tx>
            <c:strRef>
              <c:f>Feuil1!$A$63</c:f>
              <c:strCache>
                <c:ptCount val="1"/>
                <c:pt idx="0">
                  <c:v>Quentin Magne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Feuil1!$B$63:$W$63</c:f>
              <c:numCache>
                <c:formatCode>0</c:formatCode>
                <c:ptCount val="2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AA0-4A2A-9873-746CAC324ECE}"/>
            </c:ext>
          </c:extLst>
        </c:ser>
        <c:ser>
          <c:idx val="12"/>
          <c:order val="12"/>
          <c:tx>
            <c:strRef>
              <c:f>Feuil1!$A$64</c:f>
              <c:strCache>
                <c:ptCount val="1"/>
                <c:pt idx="0">
                  <c:v>Julien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Feuil1!$B$51:$W$51</c:f>
              <c:strCache>
                <c:ptCount val="22"/>
                <c:pt idx="0">
                  <c:v>Étape 1</c:v>
                </c:pt>
                <c:pt idx="1">
                  <c:v>Étape 2</c:v>
                </c:pt>
                <c:pt idx="2">
                  <c:v>Étape 3</c:v>
                </c:pt>
                <c:pt idx="3">
                  <c:v>Étape 4</c:v>
                </c:pt>
                <c:pt idx="4">
                  <c:v>Étape 5</c:v>
                </c:pt>
                <c:pt idx="5">
                  <c:v>Étape 6</c:v>
                </c:pt>
                <c:pt idx="6">
                  <c:v>Étape 7</c:v>
                </c:pt>
                <c:pt idx="7">
                  <c:v>Étape 8</c:v>
                </c:pt>
                <c:pt idx="8">
                  <c:v>Étape 9</c:v>
                </c:pt>
                <c:pt idx="9">
                  <c:v>Étape 10</c:v>
                </c:pt>
                <c:pt idx="10">
                  <c:v>Étape 11</c:v>
                </c:pt>
                <c:pt idx="11">
                  <c:v>Étape 12</c:v>
                </c:pt>
                <c:pt idx="12">
                  <c:v>Étape 13</c:v>
                </c:pt>
                <c:pt idx="13">
                  <c:v>Étape 14</c:v>
                </c:pt>
                <c:pt idx="14">
                  <c:v>Étape 15</c:v>
                </c:pt>
                <c:pt idx="15">
                  <c:v>Étape 16</c:v>
                </c:pt>
                <c:pt idx="16">
                  <c:v>Étape 17</c:v>
                </c:pt>
                <c:pt idx="17">
                  <c:v>Étape 18</c:v>
                </c:pt>
                <c:pt idx="18">
                  <c:v>Étape 19</c:v>
                </c:pt>
                <c:pt idx="19">
                  <c:v>Étape 20</c:v>
                </c:pt>
                <c:pt idx="20">
                  <c:v>Étape 21</c:v>
                </c:pt>
                <c:pt idx="21">
                  <c:v>Fin de Course</c:v>
                </c:pt>
              </c:strCache>
            </c:strRef>
          </c:cat>
          <c:val>
            <c:numRef>
              <c:f>Feuil1!$B$64:$W$64</c:f>
              <c:numCache>
                <c:formatCode>0</c:formatCode>
                <c:ptCount val="2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A0-4A2A-9873-746CAC324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076511"/>
        <c:axId val="1683099391"/>
      </c:lineChart>
      <c:catAx>
        <c:axId val="168307651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3099391"/>
        <c:crosses val="autoZero"/>
        <c:auto val="1"/>
        <c:lblAlgn val="ctr"/>
        <c:lblOffset val="100"/>
        <c:noMultiLvlLbl val="0"/>
      </c:catAx>
      <c:valAx>
        <c:axId val="1683099391"/>
        <c:scaling>
          <c:orientation val="maxMin"/>
        </c:scaling>
        <c:delete val="1"/>
        <c:axPos val="l"/>
        <c:numFmt formatCode="0" sourceLinked="1"/>
        <c:majorTickMark val="none"/>
        <c:minorTickMark val="none"/>
        <c:tickLblPos val="nextTo"/>
        <c:crossAx val="168307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315525934493413E-2"/>
          <c:y val="0.90408227294729449"/>
          <c:w val="0.94467329137718448"/>
          <c:h val="8.8193233972563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127010</xdr:colOff>
      <xdr:row>19</xdr:row>
      <xdr:rowOff>152399</xdr:rowOff>
    </xdr:from>
    <xdr:to>
      <xdr:col>49</xdr:col>
      <xdr:colOff>254000</xdr:colOff>
      <xdr:row>69</xdr:row>
      <xdr:rowOff>15874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08F9281-0CEF-AFBC-5443-3046129DA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W89"/>
  <sheetViews>
    <sheetView showGridLines="0" tabSelected="1" zoomScale="60" zoomScaleNormal="60" workbookViewId="0">
      <pane xSplit="1" topLeftCell="C1" activePane="topRight" state="frozen"/>
      <selection pane="topRight" activeCell="A14" sqref="A14:XFD14"/>
    </sheetView>
  </sheetViews>
  <sheetFormatPr baseColWidth="10" defaultRowHeight="15" x14ac:dyDescent="0.25"/>
  <cols>
    <col min="1" max="1" width="20.42578125" bestFit="1" customWidth="1"/>
    <col min="2" max="2" width="10.7109375" customWidth="1"/>
    <col min="3" max="3" width="12.5703125" customWidth="1"/>
    <col min="4" max="4" width="10.140625" bestFit="1" customWidth="1"/>
    <col min="5" max="5" width="12.5703125" customWidth="1"/>
    <col min="6" max="6" width="11.5703125" customWidth="1"/>
    <col min="7" max="7" width="10.140625" customWidth="1"/>
    <col min="8" max="8" width="12.7109375" customWidth="1"/>
    <col min="9" max="9" width="11.28515625" customWidth="1"/>
    <col min="10" max="10" width="10.140625" bestFit="1" customWidth="1"/>
    <col min="11" max="11" width="13.85546875" customWidth="1"/>
    <col min="12" max="12" width="11.7109375" customWidth="1"/>
    <col min="13" max="13" width="11" bestFit="1" customWidth="1"/>
    <col min="14" max="14" width="12.7109375" customWidth="1"/>
    <col min="15" max="15" width="13.5703125" customWidth="1"/>
    <col min="16" max="18" width="11" bestFit="1" customWidth="1"/>
    <col min="19" max="19" width="11" customWidth="1"/>
    <col min="20" max="20" width="11" bestFit="1" customWidth="1"/>
    <col min="21" max="21" width="11.42578125" bestFit="1" customWidth="1"/>
    <col min="22" max="22" width="11" bestFit="1" customWidth="1"/>
    <col min="23" max="23" width="18.140625" bestFit="1" customWidth="1"/>
    <col min="24" max="24" width="13.140625" bestFit="1" customWidth="1"/>
    <col min="25" max="25" width="0.7109375" customWidth="1"/>
    <col min="26" max="26" width="14.7109375" bestFit="1" customWidth="1"/>
    <col min="27" max="27" width="1.28515625" customWidth="1"/>
    <col min="28" max="28" width="14.7109375" bestFit="1" customWidth="1"/>
    <col min="29" max="29" width="1" customWidth="1"/>
    <col min="30" max="30" width="13.42578125" bestFit="1" customWidth="1"/>
    <col min="31" max="31" width="0.85546875" customWidth="1"/>
    <col min="32" max="32" width="18.28515625" bestFit="1" customWidth="1"/>
    <col min="33" max="33" width="20.42578125" bestFit="1" customWidth="1"/>
    <col min="35" max="35" width="7.42578125" customWidth="1"/>
    <col min="36" max="36" width="20.42578125" bestFit="1" customWidth="1"/>
    <col min="38" max="38" width="20.42578125" bestFit="1" customWidth="1"/>
    <col min="40" max="40" width="20.42578125" bestFit="1" customWidth="1"/>
    <col min="41" max="41" width="14.7109375" bestFit="1" customWidth="1"/>
    <col min="42" max="42" width="14.42578125" bestFit="1" customWidth="1"/>
    <col min="43" max="43" width="17.28515625" bestFit="1" customWidth="1"/>
    <col min="44" max="44" width="14" bestFit="1" customWidth="1"/>
    <col min="45" max="45" width="12" bestFit="1" customWidth="1"/>
    <col min="46" max="46" width="17" bestFit="1" customWidth="1"/>
    <col min="47" max="47" width="11.5703125" bestFit="1" customWidth="1"/>
    <col min="48" max="48" width="16.85546875" bestFit="1" customWidth="1"/>
    <col min="49" max="49" width="12" bestFit="1" customWidth="1"/>
  </cols>
  <sheetData>
    <row r="1" spans="1:49" ht="15.75" thickBot="1" x14ac:dyDescent="0.3"/>
    <row r="2" spans="1:49" ht="15.75" thickBot="1" x14ac:dyDescent="0.3">
      <c r="AN2" s="88" t="s">
        <v>51</v>
      </c>
      <c r="AO2" s="89"/>
      <c r="AP2" s="89"/>
      <c r="AQ2" s="89"/>
      <c r="AR2" s="89"/>
      <c r="AS2" s="89"/>
      <c r="AT2" s="89"/>
      <c r="AU2" s="89"/>
      <c r="AV2" s="89"/>
      <c r="AW2" s="90"/>
    </row>
    <row r="3" spans="1:49" ht="20.45" customHeight="1" thickBot="1" x14ac:dyDescent="0.3">
      <c r="A3" s="41"/>
      <c r="B3" s="24" t="s">
        <v>0</v>
      </c>
      <c r="C3" s="25" t="s">
        <v>1</v>
      </c>
      <c r="D3" s="25" t="s">
        <v>2</v>
      </c>
      <c r="E3" s="25" t="s">
        <v>3</v>
      </c>
      <c r="F3" s="25" t="s">
        <v>4</v>
      </c>
      <c r="G3" s="25" t="s">
        <v>19</v>
      </c>
      <c r="H3" s="25" t="s">
        <v>20</v>
      </c>
      <c r="I3" s="25" t="s">
        <v>21</v>
      </c>
      <c r="J3" s="25" t="s">
        <v>22</v>
      </c>
      <c r="K3" s="25" t="s">
        <v>23</v>
      </c>
      <c r="L3" s="25" t="s">
        <v>24</v>
      </c>
      <c r="M3" s="25" t="s">
        <v>25</v>
      </c>
      <c r="N3" s="25" t="s">
        <v>26</v>
      </c>
      <c r="O3" s="25" t="s">
        <v>27</v>
      </c>
      <c r="P3" s="25" t="s">
        <v>28</v>
      </c>
      <c r="Q3" s="25" t="s">
        <v>29</v>
      </c>
      <c r="R3" s="25" t="s">
        <v>30</v>
      </c>
      <c r="S3" s="25" t="s">
        <v>31</v>
      </c>
      <c r="T3" s="25" t="s">
        <v>32</v>
      </c>
      <c r="U3" s="25" t="s">
        <v>33</v>
      </c>
      <c r="V3" s="25" t="s">
        <v>34</v>
      </c>
      <c r="W3" s="44"/>
      <c r="X3" s="42" t="s">
        <v>6</v>
      </c>
      <c r="Y3" s="7"/>
      <c r="Z3" s="2" t="s">
        <v>7</v>
      </c>
      <c r="AA3" s="7"/>
      <c r="AB3" s="3" t="s">
        <v>8</v>
      </c>
      <c r="AC3" s="7"/>
      <c r="AD3" s="5" t="s">
        <v>10</v>
      </c>
      <c r="AE3" s="7"/>
      <c r="AF3" s="4" t="s">
        <v>9</v>
      </c>
      <c r="AG3" s="7"/>
      <c r="AJ3" s="85" t="s">
        <v>36</v>
      </c>
      <c r="AK3" s="86"/>
      <c r="AL3" s="87"/>
      <c r="AN3" s="21" t="s">
        <v>41</v>
      </c>
      <c r="AO3" s="22" t="s">
        <v>42</v>
      </c>
      <c r="AP3" s="22" t="s">
        <v>43</v>
      </c>
      <c r="AQ3" s="22" t="s">
        <v>44</v>
      </c>
      <c r="AR3" s="22" t="s">
        <v>45</v>
      </c>
      <c r="AS3" s="22" t="s">
        <v>46</v>
      </c>
      <c r="AT3" s="22" t="s">
        <v>47</v>
      </c>
      <c r="AU3" s="22" t="s">
        <v>48</v>
      </c>
      <c r="AV3" s="22" t="s">
        <v>49</v>
      </c>
      <c r="AW3" s="23" t="s">
        <v>50</v>
      </c>
    </row>
    <row r="4" spans="1:49" x14ac:dyDescent="0.25">
      <c r="A4" s="12" t="s">
        <v>35</v>
      </c>
      <c r="B4" s="39">
        <f t="shared" ref="B4:V4" si="0">RANK(B21,B$21:B$33,0)</f>
        <v>1</v>
      </c>
      <c r="C4" s="39">
        <f t="shared" si="0"/>
        <v>1</v>
      </c>
      <c r="D4" s="39">
        <f t="shared" si="0"/>
        <v>2</v>
      </c>
      <c r="E4" s="39">
        <f t="shared" si="0"/>
        <v>1</v>
      </c>
      <c r="F4" s="39">
        <f t="shared" si="0"/>
        <v>1</v>
      </c>
      <c r="G4" s="39">
        <f t="shared" si="0"/>
        <v>2</v>
      </c>
      <c r="H4" s="39">
        <f t="shared" si="0"/>
        <v>1</v>
      </c>
      <c r="I4" s="39">
        <f t="shared" si="0"/>
        <v>5</v>
      </c>
      <c r="J4" s="39">
        <f t="shared" si="0"/>
        <v>1</v>
      </c>
      <c r="K4" s="39">
        <f t="shared" si="0"/>
        <v>8</v>
      </c>
      <c r="L4" s="39">
        <f t="shared" si="0"/>
        <v>1</v>
      </c>
      <c r="M4" s="39">
        <f t="shared" si="0"/>
        <v>2</v>
      </c>
      <c r="N4" s="39">
        <f t="shared" si="0"/>
        <v>8</v>
      </c>
      <c r="O4" s="39">
        <f t="shared" si="0"/>
        <v>1</v>
      </c>
      <c r="P4" s="39">
        <f t="shared" si="0"/>
        <v>4</v>
      </c>
      <c r="Q4" s="39">
        <f t="shared" si="0"/>
        <v>3</v>
      </c>
      <c r="R4" s="39">
        <f t="shared" si="0"/>
        <v>8</v>
      </c>
      <c r="S4" s="39">
        <f t="shared" si="0"/>
        <v>1</v>
      </c>
      <c r="T4" s="39">
        <f t="shared" si="0"/>
        <v>6</v>
      </c>
      <c r="U4" s="39">
        <f t="shared" si="0"/>
        <v>6</v>
      </c>
      <c r="V4" s="39">
        <f t="shared" si="0"/>
        <v>1</v>
      </c>
      <c r="W4" s="43" t="s">
        <v>35</v>
      </c>
      <c r="X4" s="1">
        <f t="shared" ref="X4:X16" si="1">COUNTIF(B4:V4,1)</f>
        <v>10</v>
      </c>
      <c r="Y4" s="6" t="s">
        <v>35</v>
      </c>
      <c r="Z4" s="1">
        <f t="shared" ref="Z4:Z16" si="2">COUNTIF(B4:V4,2)</f>
        <v>3</v>
      </c>
      <c r="AA4" s="6" t="s">
        <v>35</v>
      </c>
      <c r="AB4" s="1">
        <f t="shared" ref="AB4:AB16" si="3">COUNTIF(B4:V4,3)</f>
        <v>1</v>
      </c>
      <c r="AC4" s="6" t="s">
        <v>35</v>
      </c>
      <c r="AD4" s="1">
        <f t="shared" ref="AD4:AD16" si="4">SUM(X4:AB4)</f>
        <v>14</v>
      </c>
      <c r="AE4" s="6" t="s">
        <v>35</v>
      </c>
      <c r="AF4" s="1">
        <f>COUNTIF(B4:V4,13)</f>
        <v>0</v>
      </c>
      <c r="AG4" s="6" t="s">
        <v>35</v>
      </c>
      <c r="AJ4" s="12" t="s">
        <v>35</v>
      </c>
      <c r="AK4" s="61"/>
      <c r="AL4" s="62" t="s">
        <v>35</v>
      </c>
      <c r="AN4" s="72" t="s">
        <v>35</v>
      </c>
      <c r="AO4" s="17" t="s">
        <v>59</v>
      </c>
      <c r="AP4" s="17" t="s">
        <v>60</v>
      </c>
      <c r="AQ4" s="17" t="s">
        <v>61</v>
      </c>
      <c r="AR4" s="17" t="s">
        <v>62</v>
      </c>
      <c r="AS4" s="17" t="s">
        <v>63</v>
      </c>
      <c r="AT4" s="17" t="s">
        <v>53</v>
      </c>
      <c r="AU4" s="17" t="s">
        <v>52</v>
      </c>
      <c r="AV4" s="17" t="s">
        <v>64</v>
      </c>
      <c r="AW4" s="18" t="s">
        <v>54</v>
      </c>
    </row>
    <row r="5" spans="1:49" x14ac:dyDescent="0.25">
      <c r="A5" s="12" t="s">
        <v>55</v>
      </c>
      <c r="B5" s="39">
        <f t="shared" ref="B5:V5" si="5">RANK(B22,B$21:B$33,0)</f>
        <v>5</v>
      </c>
      <c r="C5" s="39">
        <f t="shared" si="5"/>
        <v>4</v>
      </c>
      <c r="D5" s="39">
        <f t="shared" si="5"/>
        <v>4</v>
      </c>
      <c r="E5" s="39">
        <f t="shared" si="5"/>
        <v>2</v>
      </c>
      <c r="F5" s="39">
        <f t="shared" si="5"/>
        <v>2</v>
      </c>
      <c r="G5" s="39">
        <f t="shared" si="5"/>
        <v>7</v>
      </c>
      <c r="H5" s="39">
        <f t="shared" si="5"/>
        <v>12</v>
      </c>
      <c r="I5" s="39">
        <f t="shared" si="5"/>
        <v>10</v>
      </c>
      <c r="J5" s="39">
        <f t="shared" si="5"/>
        <v>8</v>
      </c>
      <c r="K5" s="39">
        <f t="shared" si="5"/>
        <v>4</v>
      </c>
      <c r="L5" s="39">
        <f t="shared" si="5"/>
        <v>4</v>
      </c>
      <c r="M5" s="39">
        <f t="shared" si="5"/>
        <v>9</v>
      </c>
      <c r="N5" s="39">
        <f t="shared" si="5"/>
        <v>5</v>
      </c>
      <c r="O5" s="39">
        <f t="shared" si="5"/>
        <v>10</v>
      </c>
      <c r="P5" s="39">
        <f t="shared" si="5"/>
        <v>7</v>
      </c>
      <c r="Q5" s="39">
        <f t="shared" si="5"/>
        <v>13</v>
      </c>
      <c r="R5" s="39">
        <f t="shared" si="5"/>
        <v>11</v>
      </c>
      <c r="S5" s="39">
        <f t="shared" si="5"/>
        <v>6</v>
      </c>
      <c r="T5" s="39">
        <f t="shared" si="5"/>
        <v>12</v>
      </c>
      <c r="U5" s="39">
        <f t="shared" si="5"/>
        <v>13</v>
      </c>
      <c r="V5" s="39">
        <f t="shared" si="5"/>
        <v>3</v>
      </c>
      <c r="W5" s="43" t="s">
        <v>55</v>
      </c>
      <c r="X5" s="1">
        <f t="shared" si="1"/>
        <v>0</v>
      </c>
      <c r="Y5" s="6" t="s">
        <v>55</v>
      </c>
      <c r="Z5" s="1">
        <f t="shared" si="2"/>
        <v>2</v>
      </c>
      <c r="AA5" s="6" t="s">
        <v>55</v>
      </c>
      <c r="AB5" s="1">
        <f t="shared" si="3"/>
        <v>1</v>
      </c>
      <c r="AC5" s="6" t="s">
        <v>55</v>
      </c>
      <c r="AD5" s="1">
        <f t="shared" si="4"/>
        <v>3</v>
      </c>
      <c r="AE5" s="6" t="s">
        <v>55</v>
      </c>
      <c r="AF5" s="1">
        <f t="shared" ref="AF5:AF16" si="6">COUNTIF(B5:V5,13)</f>
        <v>2</v>
      </c>
      <c r="AG5" s="6" t="s">
        <v>55</v>
      </c>
      <c r="AJ5" s="12" t="s">
        <v>55</v>
      </c>
      <c r="AK5" s="27">
        <v>1</v>
      </c>
      <c r="AL5" s="14"/>
      <c r="AN5" s="72" t="s">
        <v>55</v>
      </c>
      <c r="AO5" s="17" t="s">
        <v>59</v>
      </c>
      <c r="AP5" s="17" t="s">
        <v>71</v>
      </c>
      <c r="AQ5" s="63" t="s">
        <v>72</v>
      </c>
      <c r="AR5" s="17" t="s">
        <v>67</v>
      </c>
      <c r="AS5" s="17" t="s">
        <v>63</v>
      </c>
      <c r="AT5" s="17" t="s">
        <v>73</v>
      </c>
      <c r="AU5" s="17" t="s">
        <v>74</v>
      </c>
      <c r="AV5" s="17" t="s">
        <v>64</v>
      </c>
      <c r="AW5" s="18" t="s">
        <v>75</v>
      </c>
    </row>
    <row r="6" spans="1:49" x14ac:dyDescent="0.25">
      <c r="A6" s="12" t="s">
        <v>16</v>
      </c>
      <c r="B6" s="39">
        <f t="shared" ref="B6:V6" si="7">RANK(B23,B$21:B$33,0)</f>
        <v>2</v>
      </c>
      <c r="C6" s="39">
        <f t="shared" si="7"/>
        <v>6</v>
      </c>
      <c r="D6" s="39">
        <f t="shared" si="7"/>
        <v>1</v>
      </c>
      <c r="E6" s="39">
        <f t="shared" si="7"/>
        <v>8</v>
      </c>
      <c r="F6" s="39">
        <f t="shared" si="7"/>
        <v>7</v>
      </c>
      <c r="G6" s="39">
        <f t="shared" si="7"/>
        <v>4</v>
      </c>
      <c r="H6" s="39">
        <f t="shared" si="7"/>
        <v>6</v>
      </c>
      <c r="I6" s="39">
        <f t="shared" si="7"/>
        <v>1</v>
      </c>
      <c r="J6" s="39">
        <f t="shared" si="7"/>
        <v>6</v>
      </c>
      <c r="K6" s="39">
        <f t="shared" si="7"/>
        <v>9</v>
      </c>
      <c r="L6" s="39">
        <f t="shared" si="7"/>
        <v>8</v>
      </c>
      <c r="M6" s="39">
        <f t="shared" si="7"/>
        <v>5</v>
      </c>
      <c r="N6" s="39">
        <f t="shared" si="7"/>
        <v>6</v>
      </c>
      <c r="O6" s="39">
        <f t="shared" si="7"/>
        <v>5</v>
      </c>
      <c r="P6" s="39">
        <f t="shared" si="7"/>
        <v>8</v>
      </c>
      <c r="Q6" s="39">
        <f t="shared" si="7"/>
        <v>4</v>
      </c>
      <c r="R6" s="39">
        <f t="shared" si="7"/>
        <v>4</v>
      </c>
      <c r="S6" s="39">
        <f t="shared" si="7"/>
        <v>5</v>
      </c>
      <c r="T6" s="39">
        <f t="shared" si="7"/>
        <v>5</v>
      </c>
      <c r="U6" s="39">
        <f t="shared" si="7"/>
        <v>4</v>
      </c>
      <c r="V6" s="39">
        <f t="shared" si="7"/>
        <v>5</v>
      </c>
      <c r="W6" s="43" t="s">
        <v>16</v>
      </c>
      <c r="X6" s="1">
        <f t="shared" si="1"/>
        <v>2</v>
      </c>
      <c r="Y6" s="6" t="s">
        <v>16</v>
      </c>
      <c r="Z6" s="1">
        <f t="shared" si="2"/>
        <v>1</v>
      </c>
      <c r="AA6" s="6" t="s">
        <v>16</v>
      </c>
      <c r="AB6" s="1">
        <f t="shared" si="3"/>
        <v>0</v>
      </c>
      <c r="AC6" s="6" t="s">
        <v>16</v>
      </c>
      <c r="AD6" s="1">
        <f t="shared" si="4"/>
        <v>3</v>
      </c>
      <c r="AE6" s="6" t="s">
        <v>16</v>
      </c>
      <c r="AF6" s="1">
        <f t="shared" si="6"/>
        <v>0</v>
      </c>
      <c r="AG6" s="6" t="s">
        <v>16</v>
      </c>
      <c r="AJ6" s="12" t="s">
        <v>16</v>
      </c>
      <c r="AK6" s="27">
        <v>1</v>
      </c>
      <c r="AL6" s="14" t="s">
        <v>16</v>
      </c>
      <c r="AN6" s="72" t="s">
        <v>16</v>
      </c>
      <c r="AO6" s="17" t="s">
        <v>59</v>
      </c>
      <c r="AP6" s="17" t="s">
        <v>65</v>
      </c>
      <c r="AQ6" s="17" t="s">
        <v>66</v>
      </c>
      <c r="AR6" s="17" t="s">
        <v>67</v>
      </c>
      <c r="AS6" s="17" t="s">
        <v>63</v>
      </c>
      <c r="AT6" s="17" t="s">
        <v>69</v>
      </c>
      <c r="AU6" s="63" t="s">
        <v>70</v>
      </c>
      <c r="AV6" s="17" t="s">
        <v>64</v>
      </c>
      <c r="AW6" s="18" t="s">
        <v>68</v>
      </c>
    </row>
    <row r="7" spans="1:49" x14ac:dyDescent="0.25">
      <c r="A7" s="12" t="s">
        <v>11</v>
      </c>
      <c r="B7" s="39">
        <f t="shared" ref="B7:V7" si="8">RANK(B24,B$21:B$33,0)</f>
        <v>7</v>
      </c>
      <c r="C7" s="39">
        <f t="shared" si="8"/>
        <v>9</v>
      </c>
      <c r="D7" s="39">
        <f t="shared" si="8"/>
        <v>10</v>
      </c>
      <c r="E7" s="39">
        <f t="shared" si="8"/>
        <v>12</v>
      </c>
      <c r="F7" s="39">
        <f t="shared" si="8"/>
        <v>12</v>
      </c>
      <c r="G7" s="39">
        <f t="shared" si="8"/>
        <v>9</v>
      </c>
      <c r="H7" s="39">
        <f t="shared" si="8"/>
        <v>13</v>
      </c>
      <c r="I7" s="39">
        <f t="shared" si="8"/>
        <v>7</v>
      </c>
      <c r="J7" s="39">
        <f t="shared" si="8"/>
        <v>3</v>
      </c>
      <c r="K7" s="39">
        <f t="shared" si="8"/>
        <v>3</v>
      </c>
      <c r="L7" s="39">
        <f t="shared" si="8"/>
        <v>11</v>
      </c>
      <c r="M7" s="39">
        <f t="shared" si="8"/>
        <v>9</v>
      </c>
      <c r="N7" s="39">
        <f t="shared" si="8"/>
        <v>12</v>
      </c>
      <c r="O7" s="39">
        <f t="shared" si="8"/>
        <v>9</v>
      </c>
      <c r="P7" s="39">
        <f t="shared" si="8"/>
        <v>2</v>
      </c>
      <c r="Q7" s="39">
        <f t="shared" si="8"/>
        <v>12</v>
      </c>
      <c r="R7" s="39">
        <f t="shared" si="8"/>
        <v>9</v>
      </c>
      <c r="S7" s="39">
        <f t="shared" si="8"/>
        <v>10</v>
      </c>
      <c r="T7" s="39">
        <f t="shared" si="8"/>
        <v>8</v>
      </c>
      <c r="U7" s="39">
        <f t="shared" si="8"/>
        <v>10</v>
      </c>
      <c r="V7" s="39">
        <f t="shared" si="8"/>
        <v>11</v>
      </c>
      <c r="W7" s="43" t="s">
        <v>11</v>
      </c>
      <c r="X7" s="1">
        <f t="shared" si="1"/>
        <v>0</v>
      </c>
      <c r="Y7" s="6" t="s">
        <v>11</v>
      </c>
      <c r="Z7" s="1">
        <f t="shared" si="2"/>
        <v>1</v>
      </c>
      <c r="AA7" s="6" t="s">
        <v>11</v>
      </c>
      <c r="AB7" s="1">
        <f t="shared" si="3"/>
        <v>2</v>
      </c>
      <c r="AC7" s="6" t="s">
        <v>11</v>
      </c>
      <c r="AD7" s="1">
        <f t="shared" si="4"/>
        <v>3</v>
      </c>
      <c r="AE7" s="6" t="s">
        <v>11</v>
      </c>
      <c r="AF7" s="1">
        <f t="shared" si="6"/>
        <v>1</v>
      </c>
      <c r="AG7" s="6" t="s">
        <v>11</v>
      </c>
      <c r="AJ7" s="12" t="s">
        <v>11</v>
      </c>
      <c r="AK7" s="27">
        <v>1</v>
      </c>
      <c r="AL7" s="14" t="s">
        <v>11</v>
      </c>
      <c r="AN7" s="72" t="s">
        <v>11</v>
      </c>
      <c r="AO7" s="17" t="s">
        <v>59</v>
      </c>
      <c r="AP7" s="17" t="s">
        <v>71</v>
      </c>
      <c r="AQ7" s="17" t="s">
        <v>66</v>
      </c>
      <c r="AR7" s="17" t="s">
        <v>67</v>
      </c>
      <c r="AS7" s="63" t="s">
        <v>78</v>
      </c>
      <c r="AT7" s="17" t="s">
        <v>91</v>
      </c>
      <c r="AU7" s="17" t="s">
        <v>92</v>
      </c>
      <c r="AV7" s="17" t="s">
        <v>64</v>
      </c>
      <c r="AW7" s="18" t="s">
        <v>82</v>
      </c>
    </row>
    <row r="8" spans="1:49" x14ac:dyDescent="0.25">
      <c r="A8" s="12" t="s">
        <v>37</v>
      </c>
      <c r="B8" s="39">
        <f t="shared" ref="B8:V8" si="9">RANK(B25,B$21:B$33,0)</f>
        <v>12</v>
      </c>
      <c r="C8" s="39">
        <f t="shared" si="9"/>
        <v>8</v>
      </c>
      <c r="D8" s="39">
        <f t="shared" si="9"/>
        <v>12</v>
      </c>
      <c r="E8" s="39">
        <f t="shared" si="9"/>
        <v>13</v>
      </c>
      <c r="F8" s="39">
        <f t="shared" si="9"/>
        <v>13</v>
      </c>
      <c r="G8" s="39">
        <f t="shared" si="9"/>
        <v>3</v>
      </c>
      <c r="H8" s="39">
        <f t="shared" si="9"/>
        <v>2</v>
      </c>
      <c r="I8" s="39">
        <f t="shared" si="9"/>
        <v>12</v>
      </c>
      <c r="J8" s="39">
        <f t="shared" si="9"/>
        <v>5</v>
      </c>
      <c r="K8" s="39">
        <f t="shared" si="9"/>
        <v>10</v>
      </c>
      <c r="L8" s="39">
        <f t="shared" si="9"/>
        <v>12</v>
      </c>
      <c r="M8" s="39">
        <f t="shared" si="9"/>
        <v>3</v>
      </c>
      <c r="N8" s="39">
        <f t="shared" si="9"/>
        <v>10</v>
      </c>
      <c r="O8" s="39">
        <f t="shared" si="9"/>
        <v>2</v>
      </c>
      <c r="P8" s="39">
        <f t="shared" si="9"/>
        <v>11</v>
      </c>
      <c r="Q8" s="39">
        <f t="shared" si="9"/>
        <v>7</v>
      </c>
      <c r="R8" s="39">
        <f t="shared" si="9"/>
        <v>7</v>
      </c>
      <c r="S8" s="39">
        <f t="shared" si="9"/>
        <v>10</v>
      </c>
      <c r="T8" s="39">
        <f t="shared" si="9"/>
        <v>1</v>
      </c>
      <c r="U8" s="39">
        <f t="shared" si="9"/>
        <v>11</v>
      </c>
      <c r="V8" s="39">
        <f t="shared" si="9"/>
        <v>9</v>
      </c>
      <c r="W8" s="43" t="s">
        <v>37</v>
      </c>
      <c r="X8" s="1">
        <f t="shared" si="1"/>
        <v>1</v>
      </c>
      <c r="Y8" s="7" t="s">
        <v>37</v>
      </c>
      <c r="Z8" s="1">
        <f t="shared" si="2"/>
        <v>2</v>
      </c>
      <c r="AA8" s="7" t="s">
        <v>37</v>
      </c>
      <c r="AB8" s="1">
        <f t="shared" si="3"/>
        <v>2</v>
      </c>
      <c r="AC8" s="7" t="s">
        <v>37</v>
      </c>
      <c r="AD8" s="1">
        <f t="shared" si="4"/>
        <v>5</v>
      </c>
      <c r="AE8" s="7" t="s">
        <v>37</v>
      </c>
      <c r="AF8" s="1">
        <f t="shared" si="6"/>
        <v>2</v>
      </c>
      <c r="AG8" s="7" t="s">
        <v>37</v>
      </c>
      <c r="AJ8" s="12" t="s">
        <v>37</v>
      </c>
      <c r="AK8" s="27">
        <v>2</v>
      </c>
      <c r="AL8" s="15" t="s">
        <v>37</v>
      </c>
      <c r="AN8" s="72" t="s">
        <v>37</v>
      </c>
      <c r="AO8" s="17" t="s">
        <v>59</v>
      </c>
      <c r="AP8" s="17" t="s">
        <v>99</v>
      </c>
      <c r="AQ8" s="63" t="s">
        <v>89</v>
      </c>
      <c r="AR8" s="17" t="s">
        <v>100</v>
      </c>
      <c r="AS8" s="63" t="s">
        <v>78</v>
      </c>
      <c r="AT8" s="17" t="s">
        <v>81</v>
      </c>
      <c r="AU8" s="17" t="s">
        <v>101</v>
      </c>
      <c r="AV8" s="17" t="s">
        <v>82</v>
      </c>
      <c r="AW8" s="18" t="s">
        <v>102</v>
      </c>
    </row>
    <row r="9" spans="1:49" x14ac:dyDescent="0.25">
      <c r="A9" s="12" t="s">
        <v>17</v>
      </c>
      <c r="B9" s="39">
        <f t="shared" ref="B9:V9" si="10">RANK(B26,B$21:B$33,0)</f>
        <v>11</v>
      </c>
      <c r="C9" s="39">
        <f t="shared" si="10"/>
        <v>13</v>
      </c>
      <c r="D9" s="39">
        <f t="shared" si="10"/>
        <v>7</v>
      </c>
      <c r="E9" s="39">
        <f t="shared" si="10"/>
        <v>7</v>
      </c>
      <c r="F9" s="39">
        <f t="shared" si="10"/>
        <v>5</v>
      </c>
      <c r="G9" s="39">
        <f t="shared" si="10"/>
        <v>12</v>
      </c>
      <c r="H9" s="39">
        <f t="shared" si="10"/>
        <v>4</v>
      </c>
      <c r="I9" s="39">
        <f t="shared" si="10"/>
        <v>6</v>
      </c>
      <c r="J9" s="39">
        <f t="shared" si="10"/>
        <v>9</v>
      </c>
      <c r="K9" s="39">
        <f t="shared" si="10"/>
        <v>11</v>
      </c>
      <c r="L9" s="39">
        <f t="shared" si="10"/>
        <v>5</v>
      </c>
      <c r="M9" s="39">
        <f t="shared" si="10"/>
        <v>5</v>
      </c>
      <c r="N9" s="39">
        <f t="shared" si="10"/>
        <v>3</v>
      </c>
      <c r="O9" s="39">
        <f t="shared" si="10"/>
        <v>3</v>
      </c>
      <c r="P9" s="39">
        <f t="shared" si="10"/>
        <v>1</v>
      </c>
      <c r="Q9" s="39">
        <f t="shared" si="10"/>
        <v>1</v>
      </c>
      <c r="R9" s="39">
        <f t="shared" si="10"/>
        <v>3</v>
      </c>
      <c r="S9" s="39">
        <f t="shared" si="10"/>
        <v>2</v>
      </c>
      <c r="T9" s="39">
        <f t="shared" si="10"/>
        <v>4</v>
      </c>
      <c r="U9" s="39">
        <f t="shared" si="10"/>
        <v>1</v>
      </c>
      <c r="V9" s="39">
        <f t="shared" si="10"/>
        <v>3</v>
      </c>
      <c r="W9" s="43" t="s">
        <v>17</v>
      </c>
      <c r="X9" s="1">
        <f t="shared" si="1"/>
        <v>3</v>
      </c>
      <c r="Y9" s="6" t="s">
        <v>17</v>
      </c>
      <c r="Z9" s="1">
        <f t="shared" si="2"/>
        <v>1</v>
      </c>
      <c r="AA9" s="6" t="s">
        <v>17</v>
      </c>
      <c r="AB9" s="1">
        <f t="shared" si="3"/>
        <v>4</v>
      </c>
      <c r="AC9" s="6" t="s">
        <v>17</v>
      </c>
      <c r="AD9" s="1">
        <f t="shared" si="4"/>
        <v>8</v>
      </c>
      <c r="AE9" s="6" t="s">
        <v>17</v>
      </c>
      <c r="AF9" s="1">
        <f t="shared" si="6"/>
        <v>1</v>
      </c>
      <c r="AG9" s="6" t="s">
        <v>17</v>
      </c>
      <c r="AJ9" s="12" t="s">
        <v>17</v>
      </c>
      <c r="AK9" s="27"/>
      <c r="AL9" s="14" t="s">
        <v>17</v>
      </c>
      <c r="AN9" s="72" t="s">
        <v>17</v>
      </c>
      <c r="AO9" s="17" t="s">
        <v>59</v>
      </c>
      <c r="AP9" s="17" t="s">
        <v>97</v>
      </c>
      <c r="AQ9" s="17" t="s">
        <v>66</v>
      </c>
      <c r="AR9" s="17" t="s">
        <v>98</v>
      </c>
      <c r="AS9" s="17" t="s">
        <v>63</v>
      </c>
      <c r="AT9" s="17" t="s">
        <v>82</v>
      </c>
      <c r="AU9" s="17" t="s">
        <v>79</v>
      </c>
      <c r="AV9" s="17" t="s">
        <v>69</v>
      </c>
      <c r="AW9" s="18" t="s">
        <v>75</v>
      </c>
    </row>
    <row r="10" spans="1:49" x14ac:dyDescent="0.25">
      <c r="A10" s="12" t="s">
        <v>39</v>
      </c>
      <c r="B10" s="39">
        <f t="shared" ref="B10:V10" si="11">RANK(B27,B$21:B$33,0)</f>
        <v>2</v>
      </c>
      <c r="C10" s="39">
        <f t="shared" si="11"/>
        <v>11</v>
      </c>
      <c r="D10" s="39">
        <f t="shared" si="11"/>
        <v>8</v>
      </c>
      <c r="E10" s="39">
        <f t="shared" si="11"/>
        <v>3</v>
      </c>
      <c r="F10" s="39">
        <f t="shared" si="11"/>
        <v>8</v>
      </c>
      <c r="G10" s="39">
        <f t="shared" si="11"/>
        <v>6</v>
      </c>
      <c r="H10" s="39">
        <f t="shared" si="11"/>
        <v>5</v>
      </c>
      <c r="I10" s="39">
        <f t="shared" si="11"/>
        <v>2</v>
      </c>
      <c r="J10" s="39">
        <f t="shared" si="11"/>
        <v>7</v>
      </c>
      <c r="K10" s="39">
        <f t="shared" si="11"/>
        <v>5</v>
      </c>
      <c r="L10" s="39">
        <f t="shared" si="11"/>
        <v>2</v>
      </c>
      <c r="M10" s="39">
        <f t="shared" si="11"/>
        <v>4</v>
      </c>
      <c r="N10" s="39">
        <f t="shared" si="11"/>
        <v>1</v>
      </c>
      <c r="O10" s="39">
        <f t="shared" si="11"/>
        <v>4</v>
      </c>
      <c r="P10" s="39">
        <f t="shared" si="11"/>
        <v>9</v>
      </c>
      <c r="Q10" s="39">
        <f t="shared" si="11"/>
        <v>2</v>
      </c>
      <c r="R10" s="39">
        <f t="shared" si="11"/>
        <v>2</v>
      </c>
      <c r="S10" s="39">
        <f t="shared" si="11"/>
        <v>7</v>
      </c>
      <c r="T10" s="39">
        <f t="shared" si="11"/>
        <v>3</v>
      </c>
      <c r="U10" s="39">
        <f t="shared" si="11"/>
        <v>5</v>
      </c>
      <c r="V10" s="39">
        <f t="shared" si="11"/>
        <v>2</v>
      </c>
      <c r="W10" s="43" t="s">
        <v>39</v>
      </c>
      <c r="X10" s="1">
        <f t="shared" si="1"/>
        <v>1</v>
      </c>
      <c r="Y10" s="6" t="s">
        <v>39</v>
      </c>
      <c r="Z10" s="1">
        <f t="shared" si="2"/>
        <v>6</v>
      </c>
      <c r="AA10" s="6" t="s">
        <v>39</v>
      </c>
      <c r="AB10" s="1">
        <f t="shared" si="3"/>
        <v>2</v>
      </c>
      <c r="AC10" s="6" t="s">
        <v>39</v>
      </c>
      <c r="AD10" s="1">
        <f t="shared" si="4"/>
        <v>9</v>
      </c>
      <c r="AE10" s="6" t="s">
        <v>39</v>
      </c>
      <c r="AF10" s="1">
        <f t="shared" si="6"/>
        <v>0</v>
      </c>
      <c r="AG10" s="6" t="s">
        <v>39</v>
      </c>
      <c r="AJ10" s="12" t="s">
        <v>39</v>
      </c>
      <c r="AK10" s="27"/>
      <c r="AL10" s="14" t="s">
        <v>38</v>
      </c>
      <c r="AN10" s="72" t="s">
        <v>39</v>
      </c>
      <c r="AO10" s="17" t="s">
        <v>59</v>
      </c>
      <c r="AP10" s="17" t="s">
        <v>65</v>
      </c>
      <c r="AQ10" s="17" t="s">
        <v>66</v>
      </c>
      <c r="AR10" s="17" t="s">
        <v>67</v>
      </c>
      <c r="AS10" s="17" t="s">
        <v>63</v>
      </c>
      <c r="AT10" s="17" t="s">
        <v>81</v>
      </c>
      <c r="AU10" s="17" t="s">
        <v>82</v>
      </c>
      <c r="AV10" s="17" t="s">
        <v>64</v>
      </c>
      <c r="AW10" s="18" t="s">
        <v>83</v>
      </c>
    </row>
    <row r="11" spans="1:49" x14ac:dyDescent="0.25">
      <c r="A11" s="12" t="s">
        <v>56</v>
      </c>
      <c r="B11" s="39">
        <f t="shared" ref="B11:V11" si="12">RANK(B28,B$21:B$33,0)</f>
        <v>8</v>
      </c>
      <c r="C11" s="39">
        <f t="shared" si="12"/>
        <v>12</v>
      </c>
      <c r="D11" s="39">
        <f t="shared" si="12"/>
        <v>13</v>
      </c>
      <c r="E11" s="39">
        <f t="shared" si="12"/>
        <v>11</v>
      </c>
      <c r="F11" s="39">
        <f t="shared" si="12"/>
        <v>11</v>
      </c>
      <c r="G11" s="39">
        <f t="shared" si="12"/>
        <v>1</v>
      </c>
      <c r="H11" s="39">
        <f t="shared" si="12"/>
        <v>10</v>
      </c>
      <c r="I11" s="39">
        <f t="shared" si="12"/>
        <v>8</v>
      </c>
      <c r="J11" s="39">
        <f t="shared" si="12"/>
        <v>13</v>
      </c>
      <c r="K11" s="39">
        <f t="shared" si="12"/>
        <v>13</v>
      </c>
      <c r="L11" s="39">
        <f t="shared" si="12"/>
        <v>9</v>
      </c>
      <c r="M11" s="39">
        <f t="shared" si="12"/>
        <v>1</v>
      </c>
      <c r="N11" s="39">
        <f t="shared" si="12"/>
        <v>9</v>
      </c>
      <c r="O11" s="39">
        <f t="shared" si="12"/>
        <v>11</v>
      </c>
      <c r="P11" s="39">
        <f t="shared" si="12"/>
        <v>13</v>
      </c>
      <c r="Q11" s="39">
        <f t="shared" si="12"/>
        <v>6</v>
      </c>
      <c r="R11" s="39">
        <f t="shared" si="12"/>
        <v>4</v>
      </c>
      <c r="S11" s="39">
        <f t="shared" si="12"/>
        <v>13</v>
      </c>
      <c r="T11" s="39">
        <f t="shared" si="12"/>
        <v>2</v>
      </c>
      <c r="U11" s="39">
        <f t="shared" si="12"/>
        <v>9</v>
      </c>
      <c r="V11" s="39">
        <f t="shared" si="12"/>
        <v>13</v>
      </c>
      <c r="W11" s="43" t="s">
        <v>56</v>
      </c>
      <c r="X11" s="1">
        <f t="shared" si="1"/>
        <v>2</v>
      </c>
      <c r="Y11" s="6" t="s">
        <v>56</v>
      </c>
      <c r="Z11" s="1">
        <f t="shared" si="2"/>
        <v>1</v>
      </c>
      <c r="AA11" s="6" t="s">
        <v>56</v>
      </c>
      <c r="AB11" s="1">
        <f t="shared" si="3"/>
        <v>0</v>
      </c>
      <c r="AC11" s="6" t="s">
        <v>56</v>
      </c>
      <c r="AD11" s="1">
        <f t="shared" si="4"/>
        <v>3</v>
      </c>
      <c r="AE11" s="6" t="s">
        <v>56</v>
      </c>
      <c r="AF11" s="1">
        <f t="shared" si="6"/>
        <v>6</v>
      </c>
      <c r="AG11" s="6" t="s">
        <v>56</v>
      </c>
      <c r="AJ11" s="12" t="s">
        <v>56</v>
      </c>
      <c r="AK11" s="27">
        <v>3</v>
      </c>
      <c r="AL11" s="14" t="s">
        <v>5</v>
      </c>
      <c r="AN11" s="72" t="s">
        <v>56</v>
      </c>
      <c r="AO11" s="17" t="s">
        <v>59</v>
      </c>
      <c r="AP11" s="17" t="s">
        <v>65</v>
      </c>
      <c r="AQ11" s="17" t="s">
        <v>93</v>
      </c>
      <c r="AR11" s="63" t="s">
        <v>72</v>
      </c>
      <c r="AS11" s="63" t="s">
        <v>94</v>
      </c>
      <c r="AT11" s="17" t="s">
        <v>69</v>
      </c>
      <c r="AU11" s="63" t="s">
        <v>70</v>
      </c>
      <c r="AV11" s="17" t="s">
        <v>95</v>
      </c>
      <c r="AW11" s="18" t="s">
        <v>96</v>
      </c>
    </row>
    <row r="12" spans="1:49" x14ac:dyDescent="0.25">
      <c r="A12" s="12" t="s">
        <v>5</v>
      </c>
      <c r="B12" s="39">
        <f t="shared" ref="B12:V12" si="13">RANK(B29,B$21:B$33,0)</f>
        <v>4</v>
      </c>
      <c r="C12" s="39">
        <f t="shared" si="13"/>
        <v>2</v>
      </c>
      <c r="D12" s="39">
        <f t="shared" si="13"/>
        <v>9</v>
      </c>
      <c r="E12" s="39">
        <f t="shared" si="13"/>
        <v>9</v>
      </c>
      <c r="F12" s="39">
        <f t="shared" si="13"/>
        <v>10</v>
      </c>
      <c r="G12" s="39">
        <f t="shared" si="13"/>
        <v>10</v>
      </c>
      <c r="H12" s="39">
        <f t="shared" si="13"/>
        <v>11</v>
      </c>
      <c r="I12" s="39">
        <f t="shared" si="13"/>
        <v>3</v>
      </c>
      <c r="J12" s="39">
        <f t="shared" si="13"/>
        <v>4</v>
      </c>
      <c r="K12" s="39">
        <f t="shared" si="13"/>
        <v>12</v>
      </c>
      <c r="L12" s="39">
        <f t="shared" si="13"/>
        <v>10</v>
      </c>
      <c r="M12" s="39">
        <f t="shared" si="13"/>
        <v>12</v>
      </c>
      <c r="N12" s="39">
        <f t="shared" si="13"/>
        <v>11</v>
      </c>
      <c r="O12" s="39">
        <f t="shared" si="13"/>
        <v>8</v>
      </c>
      <c r="P12" s="39">
        <f t="shared" si="13"/>
        <v>5</v>
      </c>
      <c r="Q12" s="39">
        <f t="shared" si="13"/>
        <v>5</v>
      </c>
      <c r="R12" s="39">
        <f t="shared" si="13"/>
        <v>1</v>
      </c>
      <c r="S12" s="39">
        <f t="shared" si="13"/>
        <v>9</v>
      </c>
      <c r="T12" s="39">
        <f t="shared" si="13"/>
        <v>10</v>
      </c>
      <c r="U12" s="39">
        <f t="shared" si="13"/>
        <v>2</v>
      </c>
      <c r="V12" s="39">
        <f t="shared" si="13"/>
        <v>10</v>
      </c>
      <c r="W12" s="43" t="s">
        <v>5</v>
      </c>
      <c r="X12" s="1">
        <f t="shared" si="1"/>
        <v>1</v>
      </c>
      <c r="Y12" s="6" t="s">
        <v>5</v>
      </c>
      <c r="Z12" s="1">
        <f t="shared" si="2"/>
        <v>2</v>
      </c>
      <c r="AA12" s="6" t="s">
        <v>5</v>
      </c>
      <c r="AB12" s="1">
        <f t="shared" si="3"/>
        <v>1</v>
      </c>
      <c r="AC12" s="6" t="s">
        <v>5</v>
      </c>
      <c r="AD12" s="1">
        <f t="shared" si="4"/>
        <v>4</v>
      </c>
      <c r="AE12" s="6" t="s">
        <v>5</v>
      </c>
      <c r="AF12" s="1">
        <f t="shared" si="6"/>
        <v>0</v>
      </c>
      <c r="AG12" s="6" t="s">
        <v>5</v>
      </c>
      <c r="AJ12" s="12" t="s">
        <v>5</v>
      </c>
      <c r="AK12" s="27">
        <v>3</v>
      </c>
      <c r="AL12" s="14" t="s">
        <v>15</v>
      </c>
      <c r="AN12" s="72" t="s">
        <v>5</v>
      </c>
      <c r="AO12" s="17" t="s">
        <v>59</v>
      </c>
      <c r="AP12" s="17" t="s">
        <v>65</v>
      </c>
      <c r="AQ12" s="17" t="s">
        <v>76</v>
      </c>
      <c r="AR12" s="63" t="s">
        <v>77</v>
      </c>
      <c r="AS12" s="63" t="s">
        <v>78</v>
      </c>
      <c r="AT12" s="17" t="s">
        <v>79</v>
      </c>
      <c r="AU12" s="63" t="s">
        <v>80</v>
      </c>
      <c r="AV12" s="17" t="s">
        <v>64</v>
      </c>
      <c r="AW12" s="18" t="s">
        <v>75</v>
      </c>
    </row>
    <row r="13" spans="1:49" x14ac:dyDescent="0.25">
      <c r="A13" s="12" t="s">
        <v>15</v>
      </c>
      <c r="B13" s="39">
        <f t="shared" ref="B13:V13" si="14">RANK(B30,B$21:B$33,0)</f>
        <v>13</v>
      </c>
      <c r="C13" s="39">
        <f t="shared" si="14"/>
        <v>5</v>
      </c>
      <c r="D13" s="39">
        <f t="shared" si="14"/>
        <v>6</v>
      </c>
      <c r="E13" s="39">
        <f t="shared" si="14"/>
        <v>6</v>
      </c>
      <c r="F13" s="39">
        <f t="shared" si="14"/>
        <v>6</v>
      </c>
      <c r="G13" s="39">
        <f t="shared" si="14"/>
        <v>13</v>
      </c>
      <c r="H13" s="39">
        <f t="shared" si="14"/>
        <v>7</v>
      </c>
      <c r="I13" s="39">
        <f t="shared" si="14"/>
        <v>13</v>
      </c>
      <c r="J13" s="39">
        <f t="shared" si="14"/>
        <v>12</v>
      </c>
      <c r="K13" s="39">
        <f t="shared" si="14"/>
        <v>1</v>
      </c>
      <c r="L13" s="39">
        <f t="shared" si="14"/>
        <v>7</v>
      </c>
      <c r="M13" s="39">
        <f t="shared" si="14"/>
        <v>11</v>
      </c>
      <c r="N13" s="39">
        <f t="shared" si="14"/>
        <v>7</v>
      </c>
      <c r="O13" s="39">
        <f t="shared" si="14"/>
        <v>13</v>
      </c>
      <c r="P13" s="39">
        <f t="shared" si="14"/>
        <v>6</v>
      </c>
      <c r="Q13" s="39">
        <f t="shared" si="14"/>
        <v>11</v>
      </c>
      <c r="R13" s="39">
        <f t="shared" si="14"/>
        <v>10</v>
      </c>
      <c r="S13" s="39">
        <f t="shared" si="14"/>
        <v>8</v>
      </c>
      <c r="T13" s="39">
        <f t="shared" si="14"/>
        <v>12</v>
      </c>
      <c r="U13" s="39">
        <f t="shared" si="14"/>
        <v>7</v>
      </c>
      <c r="V13" s="39">
        <f t="shared" si="14"/>
        <v>8</v>
      </c>
      <c r="W13" s="43" t="s">
        <v>15</v>
      </c>
      <c r="X13" s="1">
        <f t="shared" si="1"/>
        <v>1</v>
      </c>
      <c r="Y13" s="6" t="s">
        <v>15</v>
      </c>
      <c r="Z13" s="1">
        <f t="shared" si="2"/>
        <v>0</v>
      </c>
      <c r="AA13" s="6" t="s">
        <v>15</v>
      </c>
      <c r="AB13" s="1">
        <f t="shared" si="3"/>
        <v>0</v>
      </c>
      <c r="AC13" s="6" t="s">
        <v>15</v>
      </c>
      <c r="AD13" s="1">
        <f t="shared" si="4"/>
        <v>1</v>
      </c>
      <c r="AE13" s="6" t="s">
        <v>15</v>
      </c>
      <c r="AF13" s="1">
        <f t="shared" si="6"/>
        <v>4</v>
      </c>
      <c r="AG13" s="6" t="s">
        <v>15</v>
      </c>
      <c r="AJ13" s="12" t="s">
        <v>15</v>
      </c>
      <c r="AK13" s="27">
        <v>1</v>
      </c>
      <c r="AL13" s="14" t="s">
        <v>39</v>
      </c>
      <c r="AN13" s="72" t="s">
        <v>15</v>
      </c>
      <c r="AO13" s="17" t="s">
        <v>59</v>
      </c>
      <c r="AP13" s="17" t="s">
        <v>71</v>
      </c>
      <c r="AQ13" s="63" t="s">
        <v>89</v>
      </c>
      <c r="AR13" s="17" t="s">
        <v>67</v>
      </c>
      <c r="AS13" s="17" t="s">
        <v>63</v>
      </c>
      <c r="AT13" s="17" t="s">
        <v>87</v>
      </c>
      <c r="AU13" s="17" t="s">
        <v>90</v>
      </c>
      <c r="AV13" s="17" t="s">
        <v>88</v>
      </c>
      <c r="AW13" s="18" t="s">
        <v>75</v>
      </c>
    </row>
    <row r="14" spans="1:49" x14ac:dyDescent="0.25">
      <c r="A14" s="12" t="s">
        <v>57</v>
      </c>
      <c r="B14" s="39">
        <f t="shared" ref="B14:V14" si="15">RANK(B31,B$21:B$33,0)</f>
        <v>6</v>
      </c>
      <c r="C14" s="39">
        <f t="shared" si="15"/>
        <v>3</v>
      </c>
      <c r="D14" s="39">
        <f t="shared" si="15"/>
        <v>11</v>
      </c>
      <c r="E14" s="39">
        <f t="shared" si="15"/>
        <v>10</v>
      </c>
      <c r="F14" s="39">
        <f t="shared" si="15"/>
        <v>9</v>
      </c>
      <c r="G14" s="39">
        <f t="shared" si="15"/>
        <v>8</v>
      </c>
      <c r="H14" s="39">
        <f t="shared" si="15"/>
        <v>9</v>
      </c>
      <c r="I14" s="39">
        <f t="shared" si="15"/>
        <v>4</v>
      </c>
      <c r="J14" s="39">
        <f t="shared" si="15"/>
        <v>2</v>
      </c>
      <c r="K14" s="39">
        <f t="shared" si="15"/>
        <v>7</v>
      </c>
      <c r="L14" s="39">
        <f t="shared" si="15"/>
        <v>13</v>
      </c>
      <c r="M14" s="39">
        <f t="shared" si="15"/>
        <v>13</v>
      </c>
      <c r="N14" s="39">
        <f t="shared" si="15"/>
        <v>13</v>
      </c>
      <c r="O14" s="39">
        <f t="shared" si="15"/>
        <v>12</v>
      </c>
      <c r="P14" s="39">
        <f t="shared" si="15"/>
        <v>3</v>
      </c>
      <c r="Q14" s="39">
        <f t="shared" si="15"/>
        <v>10</v>
      </c>
      <c r="R14" s="39">
        <f t="shared" si="15"/>
        <v>6</v>
      </c>
      <c r="S14" s="39">
        <f t="shared" si="15"/>
        <v>12</v>
      </c>
      <c r="T14" s="39">
        <f t="shared" si="15"/>
        <v>10</v>
      </c>
      <c r="U14" s="39">
        <f t="shared" si="15"/>
        <v>8</v>
      </c>
      <c r="V14" s="39">
        <f t="shared" si="15"/>
        <v>12</v>
      </c>
      <c r="W14" s="43" t="s">
        <v>57</v>
      </c>
      <c r="X14" s="1">
        <f t="shared" si="1"/>
        <v>0</v>
      </c>
      <c r="Y14" s="6" t="s">
        <v>57</v>
      </c>
      <c r="Z14" s="1">
        <f t="shared" si="2"/>
        <v>1</v>
      </c>
      <c r="AA14" s="6" t="s">
        <v>57</v>
      </c>
      <c r="AB14" s="1">
        <f t="shared" si="3"/>
        <v>2</v>
      </c>
      <c r="AC14" s="6" t="s">
        <v>57</v>
      </c>
      <c r="AD14" s="1">
        <f t="shared" si="4"/>
        <v>3</v>
      </c>
      <c r="AE14" s="6" t="s">
        <v>57</v>
      </c>
      <c r="AF14" s="1">
        <f t="shared" si="6"/>
        <v>3</v>
      </c>
      <c r="AG14" s="6" t="s">
        <v>57</v>
      </c>
      <c r="AJ14" s="12" t="s">
        <v>57</v>
      </c>
      <c r="AK14" s="68">
        <v>2</v>
      </c>
      <c r="AL14" s="69"/>
      <c r="AN14" s="72" t="s">
        <v>57</v>
      </c>
      <c r="AO14" s="17" t="s">
        <v>59</v>
      </c>
      <c r="AP14" s="17" t="s">
        <v>71</v>
      </c>
      <c r="AQ14" s="63" t="s">
        <v>72</v>
      </c>
      <c r="AR14" s="17" t="s">
        <v>76</v>
      </c>
      <c r="AS14" s="63" t="s">
        <v>78</v>
      </c>
      <c r="AT14" s="17" t="s">
        <v>84</v>
      </c>
      <c r="AU14" s="17" t="s">
        <v>85</v>
      </c>
      <c r="AV14" s="70" t="s">
        <v>64</v>
      </c>
      <c r="AW14" s="71" t="s">
        <v>73</v>
      </c>
    </row>
    <row r="15" spans="1:49" x14ac:dyDescent="0.25">
      <c r="A15" s="12" t="s">
        <v>40</v>
      </c>
      <c r="B15" s="39">
        <f t="shared" ref="B15:V15" si="16">RANK(B32,B$21:B$33,0)</f>
        <v>9</v>
      </c>
      <c r="C15" s="39">
        <f t="shared" si="16"/>
        <v>10</v>
      </c>
      <c r="D15" s="39">
        <f t="shared" si="16"/>
        <v>3</v>
      </c>
      <c r="E15" s="39">
        <f t="shared" si="16"/>
        <v>4</v>
      </c>
      <c r="F15" s="39">
        <f t="shared" si="16"/>
        <v>3</v>
      </c>
      <c r="G15" s="39">
        <f t="shared" si="16"/>
        <v>5</v>
      </c>
      <c r="H15" s="39">
        <f t="shared" si="16"/>
        <v>3</v>
      </c>
      <c r="I15" s="39">
        <f t="shared" si="16"/>
        <v>11</v>
      </c>
      <c r="J15" s="39">
        <f t="shared" si="16"/>
        <v>11</v>
      </c>
      <c r="K15" s="39">
        <f t="shared" si="16"/>
        <v>6</v>
      </c>
      <c r="L15" s="39">
        <f t="shared" si="16"/>
        <v>6</v>
      </c>
      <c r="M15" s="39">
        <f t="shared" si="16"/>
        <v>8</v>
      </c>
      <c r="N15" s="39">
        <f t="shared" si="16"/>
        <v>4</v>
      </c>
      <c r="O15" s="39">
        <f t="shared" si="16"/>
        <v>7</v>
      </c>
      <c r="P15" s="39">
        <f t="shared" si="16"/>
        <v>12</v>
      </c>
      <c r="Q15" s="39">
        <f t="shared" si="16"/>
        <v>9</v>
      </c>
      <c r="R15" s="39">
        <f t="shared" si="16"/>
        <v>12</v>
      </c>
      <c r="S15" s="39">
        <f t="shared" si="16"/>
        <v>4</v>
      </c>
      <c r="T15" s="39">
        <f t="shared" si="16"/>
        <v>9</v>
      </c>
      <c r="U15" s="39">
        <f t="shared" si="16"/>
        <v>12</v>
      </c>
      <c r="V15" s="39">
        <f t="shared" si="16"/>
        <v>7</v>
      </c>
      <c r="W15" s="43" t="s">
        <v>40</v>
      </c>
      <c r="X15" s="1">
        <f t="shared" si="1"/>
        <v>0</v>
      </c>
      <c r="Y15" s="6" t="s">
        <v>40</v>
      </c>
      <c r="Z15" s="1">
        <f t="shared" si="2"/>
        <v>0</v>
      </c>
      <c r="AA15" s="6" t="s">
        <v>40</v>
      </c>
      <c r="AB15" s="1">
        <f t="shared" si="3"/>
        <v>3</v>
      </c>
      <c r="AC15" s="6" t="s">
        <v>40</v>
      </c>
      <c r="AD15" s="1">
        <f t="shared" si="4"/>
        <v>3</v>
      </c>
      <c r="AE15" s="6" t="s">
        <v>40</v>
      </c>
      <c r="AF15" s="1">
        <f t="shared" si="6"/>
        <v>0</v>
      </c>
      <c r="AG15" s="6" t="s">
        <v>40</v>
      </c>
      <c r="AJ15" s="12" t="s">
        <v>40</v>
      </c>
      <c r="AK15" s="68"/>
      <c r="AL15" s="69"/>
      <c r="AN15" s="72" t="s">
        <v>40</v>
      </c>
      <c r="AO15" s="17" t="s">
        <v>59</v>
      </c>
      <c r="AP15" s="17" t="s">
        <v>60</v>
      </c>
      <c r="AQ15" s="17" t="s">
        <v>66</v>
      </c>
      <c r="AR15" s="17" t="s">
        <v>67</v>
      </c>
      <c r="AS15" s="17" t="s">
        <v>63</v>
      </c>
      <c r="AT15" s="17" t="s">
        <v>81</v>
      </c>
      <c r="AU15" s="17" t="s">
        <v>86</v>
      </c>
      <c r="AV15" s="70" t="s">
        <v>87</v>
      </c>
      <c r="AW15" s="71" t="s">
        <v>75</v>
      </c>
    </row>
    <row r="16" spans="1:49" ht="15.75" thickBot="1" x14ac:dyDescent="0.3">
      <c r="A16" s="12" t="s">
        <v>58</v>
      </c>
      <c r="B16" s="39">
        <f t="shared" ref="B16:V16" si="17">RANK(B33,B$21:B$33,0)</f>
        <v>10</v>
      </c>
      <c r="C16" s="39">
        <f t="shared" si="17"/>
        <v>7</v>
      </c>
      <c r="D16" s="39">
        <f t="shared" si="17"/>
        <v>5</v>
      </c>
      <c r="E16" s="39">
        <f t="shared" si="17"/>
        <v>5</v>
      </c>
      <c r="F16" s="39">
        <f t="shared" si="17"/>
        <v>4</v>
      </c>
      <c r="G16" s="39">
        <f t="shared" si="17"/>
        <v>11</v>
      </c>
      <c r="H16" s="39">
        <f t="shared" si="17"/>
        <v>8</v>
      </c>
      <c r="I16" s="39">
        <f t="shared" si="17"/>
        <v>9</v>
      </c>
      <c r="J16" s="39">
        <f t="shared" si="17"/>
        <v>10</v>
      </c>
      <c r="K16" s="39">
        <f t="shared" si="17"/>
        <v>2</v>
      </c>
      <c r="L16" s="39">
        <f t="shared" si="17"/>
        <v>3</v>
      </c>
      <c r="M16" s="39">
        <f t="shared" si="17"/>
        <v>7</v>
      </c>
      <c r="N16" s="39">
        <f t="shared" si="17"/>
        <v>2</v>
      </c>
      <c r="O16" s="39">
        <f t="shared" si="17"/>
        <v>6</v>
      </c>
      <c r="P16" s="39">
        <f t="shared" si="17"/>
        <v>10</v>
      </c>
      <c r="Q16" s="39">
        <f t="shared" si="17"/>
        <v>8</v>
      </c>
      <c r="R16" s="39">
        <f t="shared" si="17"/>
        <v>13</v>
      </c>
      <c r="S16" s="39">
        <f t="shared" si="17"/>
        <v>3</v>
      </c>
      <c r="T16" s="39">
        <f t="shared" si="17"/>
        <v>7</v>
      </c>
      <c r="U16" s="39">
        <f t="shared" si="17"/>
        <v>3</v>
      </c>
      <c r="V16" s="39">
        <f t="shared" si="17"/>
        <v>6</v>
      </c>
      <c r="W16" s="43" t="s">
        <v>58</v>
      </c>
      <c r="X16" s="1">
        <f t="shared" si="1"/>
        <v>0</v>
      </c>
      <c r="Y16" s="6" t="s">
        <v>58</v>
      </c>
      <c r="Z16" s="1">
        <f t="shared" si="2"/>
        <v>2</v>
      </c>
      <c r="AA16" s="6" t="s">
        <v>58</v>
      </c>
      <c r="AB16" s="1">
        <f t="shared" si="3"/>
        <v>3</v>
      </c>
      <c r="AC16" s="6" t="s">
        <v>58</v>
      </c>
      <c r="AD16" s="1">
        <f t="shared" si="4"/>
        <v>5</v>
      </c>
      <c r="AE16" s="6" t="s">
        <v>58</v>
      </c>
      <c r="AF16" s="1">
        <f t="shared" si="6"/>
        <v>1</v>
      </c>
      <c r="AG16" s="6" t="s">
        <v>58</v>
      </c>
      <c r="AJ16" s="12" t="s">
        <v>58</v>
      </c>
      <c r="AK16" s="65">
        <v>1</v>
      </c>
      <c r="AL16" s="16" t="s">
        <v>40</v>
      </c>
      <c r="AN16" s="73" t="s">
        <v>58</v>
      </c>
      <c r="AO16" s="19" t="s">
        <v>59</v>
      </c>
      <c r="AP16" s="19" t="s">
        <v>60</v>
      </c>
      <c r="AQ16" s="19" t="s">
        <v>66</v>
      </c>
      <c r="AR16" s="19" t="s">
        <v>67</v>
      </c>
      <c r="AS16" s="19" t="s">
        <v>63</v>
      </c>
      <c r="AT16" s="19" t="s">
        <v>73</v>
      </c>
      <c r="AU16" s="64" t="s">
        <v>70</v>
      </c>
      <c r="AV16" s="19" t="s">
        <v>88</v>
      </c>
      <c r="AW16" s="20" t="s">
        <v>75</v>
      </c>
    </row>
    <row r="17" spans="1:49" ht="15.75" thickBot="1" x14ac:dyDescent="0.3">
      <c r="A17" s="30"/>
      <c r="W17" s="31"/>
      <c r="Y17" s="31"/>
      <c r="AA17" s="31"/>
      <c r="AC17" s="31"/>
      <c r="AE17" s="31"/>
      <c r="AG17" s="31"/>
      <c r="AJ17" s="30"/>
      <c r="AK17" s="29"/>
      <c r="AL17" s="31"/>
      <c r="AN17" s="32"/>
      <c r="AO17" s="33"/>
      <c r="AP17" s="33"/>
      <c r="AQ17" s="33"/>
      <c r="AR17" s="33"/>
      <c r="AS17" s="33"/>
      <c r="AT17" s="33"/>
      <c r="AU17" s="33"/>
      <c r="AV17" s="33"/>
      <c r="AW17" s="33"/>
    </row>
    <row r="18" spans="1:49" ht="15.75" thickBot="1" x14ac:dyDescent="0.3">
      <c r="A18" s="30"/>
      <c r="W18" s="31"/>
      <c r="X18" s="34" t="str">
        <f>VLOOKUP(MAX(X4:X16),X3:Y16,2,FALSE)</f>
        <v>Pierre</v>
      </c>
      <c r="Y18" s="28"/>
      <c r="Z18" s="34" t="str">
        <f>VLOOKUP(MAX(Z4:Z16),Z3:AA16,2,FALSE)</f>
        <v>Quentin Moine</v>
      </c>
      <c r="AA18" s="28"/>
      <c r="AB18" s="34" t="str">
        <f>VLOOKUP(MAX(AB4:AB16),AB3:AC16,2,FALSE)</f>
        <v>David</v>
      </c>
      <c r="AC18" s="28"/>
      <c r="AD18" s="34" t="str">
        <f>VLOOKUP(MAX(AD4:AD16),AD3:AE16,2,FALSE)</f>
        <v>Pierre</v>
      </c>
      <c r="AE18" s="28"/>
      <c r="AF18" s="34" t="str">
        <f>VLOOKUP(MAX(AF4:AF16),AF3:AG16,2,FALSE)</f>
        <v>Alexandre</v>
      </c>
      <c r="AK18" s="34" t="str">
        <f>VLOOKUP(MAX(AK4:AK16),AK3:AL16,2,FALSE)</f>
        <v>Nans</v>
      </c>
      <c r="AL18" s="31"/>
      <c r="AN18" s="32"/>
      <c r="AO18" s="33"/>
      <c r="AP18" s="33"/>
      <c r="AQ18" s="33"/>
      <c r="AR18" s="33"/>
      <c r="AS18" s="33"/>
      <c r="AT18" s="33"/>
      <c r="AU18" s="33"/>
      <c r="AV18" s="33"/>
      <c r="AW18" s="33"/>
    </row>
    <row r="19" spans="1:49" ht="15.75" thickBot="1" x14ac:dyDescent="0.3"/>
    <row r="20" spans="1:49" ht="24.6" customHeight="1" thickBot="1" x14ac:dyDescent="0.3">
      <c r="A20" s="38"/>
      <c r="B20" s="24" t="s">
        <v>0</v>
      </c>
      <c r="C20" s="25" t="s">
        <v>1</v>
      </c>
      <c r="D20" s="25" t="s">
        <v>2</v>
      </c>
      <c r="E20" s="25" t="s">
        <v>3</v>
      </c>
      <c r="F20" s="25" t="s">
        <v>4</v>
      </c>
      <c r="G20" s="25" t="s">
        <v>19</v>
      </c>
      <c r="H20" s="25" t="s">
        <v>20</v>
      </c>
      <c r="I20" s="25" t="s">
        <v>21</v>
      </c>
      <c r="J20" s="25" t="s">
        <v>22</v>
      </c>
      <c r="K20" s="25" t="s">
        <v>23</v>
      </c>
      <c r="L20" s="25" t="s">
        <v>24</v>
      </c>
      <c r="M20" s="25" t="s">
        <v>25</v>
      </c>
      <c r="N20" s="25" t="s">
        <v>26</v>
      </c>
      <c r="O20" s="25" t="s">
        <v>27</v>
      </c>
      <c r="P20" s="25" t="s">
        <v>28</v>
      </c>
      <c r="Q20" s="25" t="s">
        <v>29</v>
      </c>
      <c r="R20" s="25" t="s">
        <v>30</v>
      </c>
      <c r="S20" s="25" t="s">
        <v>31</v>
      </c>
      <c r="T20" s="25" t="s">
        <v>32</v>
      </c>
      <c r="U20" s="25" t="s">
        <v>33</v>
      </c>
      <c r="V20" s="25" t="s">
        <v>34</v>
      </c>
      <c r="W20" s="26" t="s">
        <v>12</v>
      </c>
      <c r="X20" s="28"/>
      <c r="Y20" s="28"/>
      <c r="Z20" s="28"/>
      <c r="AA20" s="28"/>
      <c r="AB20" s="28"/>
      <c r="AC20" s="28"/>
      <c r="AD20" s="28"/>
      <c r="AE20" s="28"/>
      <c r="AF20" s="28"/>
      <c r="AK20" s="28"/>
    </row>
    <row r="21" spans="1:49" x14ac:dyDescent="0.25">
      <c r="A21" s="12" t="s">
        <v>35</v>
      </c>
      <c r="B21" s="39">
        <v>589</v>
      </c>
      <c r="C21" s="39">
        <v>636</v>
      </c>
      <c r="D21" s="39">
        <v>429</v>
      </c>
      <c r="E21" s="39">
        <v>521</v>
      </c>
      <c r="F21" s="39">
        <v>288</v>
      </c>
      <c r="G21" s="39">
        <v>307</v>
      </c>
      <c r="H21" s="39">
        <v>615</v>
      </c>
      <c r="I21" s="39">
        <v>630</v>
      </c>
      <c r="J21" s="39">
        <v>410</v>
      </c>
      <c r="K21" s="39">
        <v>277</v>
      </c>
      <c r="L21" s="39">
        <v>532</v>
      </c>
      <c r="M21" s="39">
        <v>208</v>
      </c>
      <c r="N21" s="39">
        <v>373</v>
      </c>
      <c r="O21" s="39">
        <v>543</v>
      </c>
      <c r="P21" s="39">
        <v>540</v>
      </c>
      <c r="Q21" s="39">
        <v>516</v>
      </c>
      <c r="R21" s="39">
        <v>463</v>
      </c>
      <c r="S21" s="39">
        <v>465</v>
      </c>
      <c r="T21" s="39">
        <v>125</v>
      </c>
      <c r="U21" s="39">
        <v>553</v>
      </c>
      <c r="V21" s="39">
        <v>505</v>
      </c>
      <c r="W21" s="40">
        <v>1825</v>
      </c>
    </row>
    <row r="22" spans="1:49" x14ac:dyDescent="0.25">
      <c r="A22" s="12" t="s">
        <v>55</v>
      </c>
      <c r="B22" s="39">
        <v>388</v>
      </c>
      <c r="C22" s="39">
        <v>540</v>
      </c>
      <c r="D22" s="39">
        <v>366</v>
      </c>
      <c r="E22" s="39">
        <v>386</v>
      </c>
      <c r="F22" s="39">
        <v>248</v>
      </c>
      <c r="G22" s="39">
        <v>163</v>
      </c>
      <c r="H22" s="39">
        <v>390</v>
      </c>
      <c r="I22" s="39">
        <v>542</v>
      </c>
      <c r="J22" s="39">
        <v>303</v>
      </c>
      <c r="K22" s="39">
        <v>395</v>
      </c>
      <c r="L22" s="39">
        <v>473</v>
      </c>
      <c r="M22" s="39">
        <v>139</v>
      </c>
      <c r="N22" s="39">
        <v>408</v>
      </c>
      <c r="O22" s="39">
        <v>350</v>
      </c>
      <c r="P22" s="39">
        <v>487</v>
      </c>
      <c r="Q22" s="39">
        <v>335</v>
      </c>
      <c r="R22" s="39">
        <v>387</v>
      </c>
      <c r="S22" s="39">
        <v>316</v>
      </c>
      <c r="T22" s="39">
        <v>97</v>
      </c>
      <c r="U22" s="39">
        <v>383</v>
      </c>
      <c r="V22" s="39">
        <v>346</v>
      </c>
      <c r="W22" s="40">
        <v>1220</v>
      </c>
    </row>
    <row r="23" spans="1:49" x14ac:dyDescent="0.25">
      <c r="A23" s="12" t="s">
        <v>16</v>
      </c>
      <c r="B23" s="39">
        <v>455</v>
      </c>
      <c r="C23" s="39">
        <v>469</v>
      </c>
      <c r="D23" s="39">
        <v>477</v>
      </c>
      <c r="E23" s="39">
        <v>324</v>
      </c>
      <c r="F23" s="39">
        <v>219</v>
      </c>
      <c r="G23" s="39">
        <v>178</v>
      </c>
      <c r="H23" s="39">
        <v>474</v>
      </c>
      <c r="I23" s="39">
        <v>738</v>
      </c>
      <c r="J23" s="39">
        <v>313</v>
      </c>
      <c r="K23" s="39">
        <v>248</v>
      </c>
      <c r="L23" s="39">
        <v>354</v>
      </c>
      <c r="M23" s="39">
        <v>161</v>
      </c>
      <c r="N23" s="39">
        <v>406</v>
      </c>
      <c r="O23" s="39">
        <v>485</v>
      </c>
      <c r="P23" s="39">
        <v>477</v>
      </c>
      <c r="Q23" s="39">
        <v>507</v>
      </c>
      <c r="R23" s="39">
        <v>526</v>
      </c>
      <c r="S23" s="39">
        <v>321</v>
      </c>
      <c r="T23" s="39">
        <v>133</v>
      </c>
      <c r="U23" s="39">
        <v>618</v>
      </c>
      <c r="V23" s="39">
        <v>342</v>
      </c>
      <c r="W23" s="40">
        <v>1760</v>
      </c>
    </row>
    <row r="24" spans="1:49" x14ac:dyDescent="0.25">
      <c r="A24" s="12" t="s">
        <v>11</v>
      </c>
      <c r="B24" s="39">
        <v>359</v>
      </c>
      <c r="C24" s="39">
        <v>457</v>
      </c>
      <c r="D24" s="39">
        <v>246</v>
      </c>
      <c r="E24" s="39">
        <v>231</v>
      </c>
      <c r="F24" s="39">
        <v>159</v>
      </c>
      <c r="G24" s="39">
        <v>157</v>
      </c>
      <c r="H24" s="39">
        <v>362</v>
      </c>
      <c r="I24" s="39">
        <v>599</v>
      </c>
      <c r="J24" s="39">
        <v>329</v>
      </c>
      <c r="K24" s="39">
        <v>426</v>
      </c>
      <c r="L24" s="39">
        <v>118</v>
      </c>
      <c r="M24" s="39">
        <v>139</v>
      </c>
      <c r="N24" s="39">
        <v>114</v>
      </c>
      <c r="O24" s="39">
        <v>361</v>
      </c>
      <c r="P24" s="39">
        <v>592</v>
      </c>
      <c r="Q24" s="39">
        <v>369</v>
      </c>
      <c r="R24" s="39">
        <v>458</v>
      </c>
      <c r="S24" s="39">
        <v>105</v>
      </c>
      <c r="T24" s="39">
        <v>115</v>
      </c>
      <c r="U24" s="39">
        <v>466</v>
      </c>
      <c r="V24" s="39">
        <v>141</v>
      </c>
      <c r="W24" s="40">
        <v>1540</v>
      </c>
    </row>
    <row r="25" spans="1:49" x14ac:dyDescent="0.25">
      <c r="A25" s="12" t="s">
        <v>37</v>
      </c>
      <c r="B25" s="39">
        <v>223</v>
      </c>
      <c r="C25" s="39">
        <v>459</v>
      </c>
      <c r="D25" s="39">
        <v>215</v>
      </c>
      <c r="E25" s="39">
        <v>210</v>
      </c>
      <c r="F25" s="39">
        <v>150</v>
      </c>
      <c r="G25" s="39">
        <v>306</v>
      </c>
      <c r="H25" s="39">
        <v>529</v>
      </c>
      <c r="I25" s="39">
        <v>452</v>
      </c>
      <c r="J25" s="39">
        <v>315</v>
      </c>
      <c r="K25" s="39">
        <v>228</v>
      </c>
      <c r="L25" s="39">
        <v>107</v>
      </c>
      <c r="M25" s="39">
        <v>167</v>
      </c>
      <c r="N25" s="39">
        <v>220</v>
      </c>
      <c r="O25" s="39">
        <v>532</v>
      </c>
      <c r="P25" s="39">
        <v>445</v>
      </c>
      <c r="Q25" s="39">
        <v>465</v>
      </c>
      <c r="R25" s="39">
        <v>477</v>
      </c>
      <c r="S25" s="39">
        <v>105</v>
      </c>
      <c r="T25" s="39">
        <v>296</v>
      </c>
      <c r="U25" s="39">
        <v>453</v>
      </c>
      <c r="V25" s="39">
        <v>211</v>
      </c>
      <c r="W25" s="40">
        <v>1295</v>
      </c>
    </row>
    <row r="26" spans="1:49" x14ac:dyDescent="0.25">
      <c r="A26" s="12" t="s">
        <v>17</v>
      </c>
      <c r="B26" s="39">
        <v>236</v>
      </c>
      <c r="C26" s="39">
        <v>357</v>
      </c>
      <c r="D26" s="39">
        <v>335</v>
      </c>
      <c r="E26" s="39">
        <v>354</v>
      </c>
      <c r="F26" s="39">
        <v>231</v>
      </c>
      <c r="G26" s="39">
        <v>118</v>
      </c>
      <c r="H26" s="39">
        <v>492</v>
      </c>
      <c r="I26" s="39">
        <v>620</v>
      </c>
      <c r="J26" s="39">
        <v>296</v>
      </c>
      <c r="K26" s="39">
        <v>167</v>
      </c>
      <c r="L26" s="39">
        <v>472</v>
      </c>
      <c r="M26" s="39">
        <v>161</v>
      </c>
      <c r="N26" s="39">
        <v>414</v>
      </c>
      <c r="O26" s="39">
        <v>527</v>
      </c>
      <c r="P26" s="39">
        <v>597</v>
      </c>
      <c r="Q26" s="39">
        <v>697</v>
      </c>
      <c r="R26" s="39">
        <v>547</v>
      </c>
      <c r="S26" s="39">
        <v>345</v>
      </c>
      <c r="T26" s="39">
        <v>136</v>
      </c>
      <c r="U26" s="39">
        <v>678</v>
      </c>
      <c r="V26" s="39">
        <v>346</v>
      </c>
      <c r="W26" s="40">
        <v>1860</v>
      </c>
    </row>
    <row r="27" spans="1:49" x14ac:dyDescent="0.25">
      <c r="A27" s="12" t="s">
        <v>39</v>
      </c>
      <c r="B27" s="39">
        <v>455</v>
      </c>
      <c r="C27" s="39">
        <v>453</v>
      </c>
      <c r="D27" s="39">
        <v>329</v>
      </c>
      <c r="E27" s="39">
        <v>376</v>
      </c>
      <c r="F27" s="39">
        <v>217</v>
      </c>
      <c r="G27" s="39">
        <v>172</v>
      </c>
      <c r="H27" s="39">
        <v>476</v>
      </c>
      <c r="I27" s="39">
        <v>732</v>
      </c>
      <c r="J27" s="39">
        <v>311</v>
      </c>
      <c r="K27" s="39">
        <v>379</v>
      </c>
      <c r="L27" s="39">
        <v>515</v>
      </c>
      <c r="M27" s="39">
        <v>162</v>
      </c>
      <c r="N27" s="39">
        <v>427</v>
      </c>
      <c r="O27" s="39">
        <v>488</v>
      </c>
      <c r="P27" s="39">
        <v>463</v>
      </c>
      <c r="Q27" s="39">
        <v>530</v>
      </c>
      <c r="R27" s="39">
        <v>565</v>
      </c>
      <c r="S27" s="39">
        <v>311</v>
      </c>
      <c r="T27" s="39">
        <v>139</v>
      </c>
      <c r="U27" s="39">
        <v>612</v>
      </c>
      <c r="V27" s="39">
        <v>420</v>
      </c>
      <c r="W27" s="40">
        <v>1805</v>
      </c>
    </row>
    <row r="28" spans="1:49" x14ac:dyDescent="0.25">
      <c r="A28" s="12" t="s">
        <v>56</v>
      </c>
      <c r="B28" s="39">
        <v>346</v>
      </c>
      <c r="C28" s="39">
        <v>428</v>
      </c>
      <c r="D28" s="39">
        <v>171</v>
      </c>
      <c r="E28" s="39">
        <v>239</v>
      </c>
      <c r="F28" s="39">
        <v>167</v>
      </c>
      <c r="G28" s="39">
        <v>340</v>
      </c>
      <c r="H28" s="39">
        <v>403</v>
      </c>
      <c r="I28" s="39">
        <v>593</v>
      </c>
      <c r="J28" s="39">
        <v>218</v>
      </c>
      <c r="K28" s="39">
        <v>119</v>
      </c>
      <c r="L28" s="39">
        <v>263</v>
      </c>
      <c r="M28" s="39">
        <v>388</v>
      </c>
      <c r="N28" s="39">
        <v>239</v>
      </c>
      <c r="O28" s="39">
        <v>349</v>
      </c>
      <c r="P28" s="39">
        <v>366</v>
      </c>
      <c r="Q28" s="39">
        <v>495</v>
      </c>
      <c r="R28" s="39">
        <v>526</v>
      </c>
      <c r="S28" s="39">
        <v>82</v>
      </c>
      <c r="T28" s="39">
        <v>197</v>
      </c>
      <c r="U28" s="39">
        <v>482</v>
      </c>
      <c r="V28" s="39">
        <v>86</v>
      </c>
      <c r="W28" s="40">
        <v>1240</v>
      </c>
    </row>
    <row r="29" spans="1:49" x14ac:dyDescent="0.25">
      <c r="A29" s="12" t="s">
        <v>5</v>
      </c>
      <c r="B29" s="39">
        <v>445</v>
      </c>
      <c r="C29" s="39">
        <v>555</v>
      </c>
      <c r="D29" s="39">
        <v>261</v>
      </c>
      <c r="E29" s="39">
        <v>266</v>
      </c>
      <c r="F29" s="39">
        <v>176</v>
      </c>
      <c r="G29" s="39">
        <v>140</v>
      </c>
      <c r="H29" s="39">
        <v>401</v>
      </c>
      <c r="I29" s="39">
        <v>666</v>
      </c>
      <c r="J29" s="39">
        <v>321</v>
      </c>
      <c r="K29" s="39">
        <v>131</v>
      </c>
      <c r="L29" s="39">
        <v>258</v>
      </c>
      <c r="M29" s="39">
        <v>130</v>
      </c>
      <c r="N29" s="39">
        <v>177</v>
      </c>
      <c r="O29" s="39">
        <v>374</v>
      </c>
      <c r="P29" s="39">
        <v>504</v>
      </c>
      <c r="Q29" s="39">
        <v>501</v>
      </c>
      <c r="R29" s="39">
        <v>569</v>
      </c>
      <c r="S29" s="39">
        <v>125</v>
      </c>
      <c r="T29" s="39">
        <v>102</v>
      </c>
      <c r="U29" s="39">
        <v>647</v>
      </c>
      <c r="V29" s="39">
        <v>167</v>
      </c>
      <c r="W29" s="40">
        <v>1560</v>
      </c>
    </row>
    <row r="30" spans="1:49" x14ac:dyDescent="0.25">
      <c r="A30" s="12" t="s">
        <v>15</v>
      </c>
      <c r="B30" s="39">
        <v>219</v>
      </c>
      <c r="C30" s="39">
        <v>519</v>
      </c>
      <c r="D30" s="39">
        <v>344</v>
      </c>
      <c r="E30" s="39">
        <v>363</v>
      </c>
      <c r="F30" s="39">
        <v>230</v>
      </c>
      <c r="G30" s="39">
        <v>97</v>
      </c>
      <c r="H30" s="39">
        <v>459</v>
      </c>
      <c r="I30" s="39">
        <v>413</v>
      </c>
      <c r="J30" s="39">
        <v>266</v>
      </c>
      <c r="K30" s="39">
        <v>606</v>
      </c>
      <c r="L30" s="39">
        <v>464</v>
      </c>
      <c r="M30" s="39">
        <v>131</v>
      </c>
      <c r="N30" s="39">
        <v>404</v>
      </c>
      <c r="O30" s="39">
        <v>295</v>
      </c>
      <c r="P30" s="39">
        <v>502</v>
      </c>
      <c r="Q30" s="39">
        <v>379</v>
      </c>
      <c r="R30" s="39">
        <v>420</v>
      </c>
      <c r="S30" s="39">
        <v>308</v>
      </c>
      <c r="T30" s="39">
        <v>97</v>
      </c>
      <c r="U30" s="39">
        <v>544</v>
      </c>
      <c r="V30" s="39">
        <v>308</v>
      </c>
      <c r="W30" s="40">
        <v>1270</v>
      </c>
      <c r="AB30" s="11"/>
    </row>
    <row r="31" spans="1:49" x14ac:dyDescent="0.25">
      <c r="A31" s="12" t="s">
        <v>57</v>
      </c>
      <c r="B31" s="39">
        <v>386</v>
      </c>
      <c r="C31" s="39">
        <v>552</v>
      </c>
      <c r="D31" s="39">
        <v>239</v>
      </c>
      <c r="E31" s="39">
        <v>244</v>
      </c>
      <c r="F31" s="39">
        <v>177</v>
      </c>
      <c r="G31" s="39">
        <v>161</v>
      </c>
      <c r="H31" s="39">
        <v>405</v>
      </c>
      <c r="I31" s="39">
        <v>655</v>
      </c>
      <c r="J31" s="39">
        <v>342</v>
      </c>
      <c r="K31" s="39">
        <v>351</v>
      </c>
      <c r="L31" s="39">
        <v>100</v>
      </c>
      <c r="M31" s="39">
        <v>129</v>
      </c>
      <c r="N31" s="39">
        <v>100</v>
      </c>
      <c r="O31" s="39">
        <v>327</v>
      </c>
      <c r="P31" s="39">
        <v>586</v>
      </c>
      <c r="Q31" s="39">
        <v>385</v>
      </c>
      <c r="R31" s="39">
        <v>500</v>
      </c>
      <c r="S31" s="39">
        <v>90</v>
      </c>
      <c r="T31" s="39">
        <v>102</v>
      </c>
      <c r="U31" s="39">
        <v>512</v>
      </c>
      <c r="V31" s="39">
        <v>130</v>
      </c>
      <c r="W31" s="40">
        <v>1350</v>
      </c>
      <c r="AB31" s="11"/>
    </row>
    <row r="32" spans="1:49" x14ac:dyDescent="0.25">
      <c r="A32" s="12" t="s">
        <v>40</v>
      </c>
      <c r="B32" s="39">
        <v>335</v>
      </c>
      <c r="C32" s="39">
        <v>456</v>
      </c>
      <c r="D32" s="39">
        <v>380</v>
      </c>
      <c r="E32" s="39">
        <v>375</v>
      </c>
      <c r="F32" s="39">
        <v>242</v>
      </c>
      <c r="G32" s="39">
        <v>177</v>
      </c>
      <c r="H32" s="39">
        <v>511</v>
      </c>
      <c r="I32" s="39">
        <v>526</v>
      </c>
      <c r="J32" s="39">
        <v>285</v>
      </c>
      <c r="K32" s="39">
        <v>373</v>
      </c>
      <c r="L32" s="39">
        <v>469</v>
      </c>
      <c r="M32" s="39">
        <v>144</v>
      </c>
      <c r="N32" s="39">
        <v>409</v>
      </c>
      <c r="O32" s="39">
        <v>391</v>
      </c>
      <c r="P32" s="39">
        <v>420</v>
      </c>
      <c r="Q32" s="39">
        <v>387</v>
      </c>
      <c r="R32" s="39">
        <v>372</v>
      </c>
      <c r="S32" s="39">
        <v>324</v>
      </c>
      <c r="T32" s="39">
        <v>113</v>
      </c>
      <c r="U32" s="39">
        <v>436</v>
      </c>
      <c r="V32" s="39">
        <v>325</v>
      </c>
      <c r="W32" s="40">
        <v>1440</v>
      </c>
      <c r="AB32" s="11"/>
    </row>
    <row r="33" spans="1:35" x14ac:dyDescent="0.25">
      <c r="A33" s="12" t="s">
        <v>58</v>
      </c>
      <c r="B33" s="39">
        <v>315</v>
      </c>
      <c r="C33" s="39">
        <v>462</v>
      </c>
      <c r="D33" s="39">
        <v>360</v>
      </c>
      <c r="E33" s="39">
        <v>371</v>
      </c>
      <c r="F33" s="39">
        <v>238</v>
      </c>
      <c r="G33" s="39">
        <v>133</v>
      </c>
      <c r="H33" s="39">
        <v>419</v>
      </c>
      <c r="I33" s="39">
        <v>546</v>
      </c>
      <c r="J33" s="39">
        <v>289</v>
      </c>
      <c r="K33" s="39">
        <v>447</v>
      </c>
      <c r="L33" s="39">
        <v>481</v>
      </c>
      <c r="M33" s="39">
        <v>147</v>
      </c>
      <c r="N33" s="39">
        <v>416</v>
      </c>
      <c r="O33" s="39">
        <v>424</v>
      </c>
      <c r="P33" s="39">
        <v>452</v>
      </c>
      <c r="Q33" s="39">
        <v>425</v>
      </c>
      <c r="R33" s="39">
        <v>360</v>
      </c>
      <c r="S33" s="39">
        <v>332</v>
      </c>
      <c r="T33" s="39">
        <v>121</v>
      </c>
      <c r="U33" s="39">
        <v>629</v>
      </c>
      <c r="V33" s="39">
        <v>334</v>
      </c>
      <c r="W33" s="40">
        <v>1485</v>
      </c>
      <c r="AB33" s="11"/>
    </row>
    <row r="34" spans="1:35" x14ac:dyDescent="0.25">
      <c r="A34" s="8"/>
      <c r="AB34" s="11"/>
    </row>
    <row r="35" spans="1:35" ht="15.75" thickBot="1" x14ac:dyDescent="0.3">
      <c r="AB35" s="11"/>
    </row>
    <row r="36" spans="1:35" ht="24.6" customHeight="1" thickBot="1" x14ac:dyDescent="0.3">
      <c r="A36" s="38"/>
      <c r="B36" s="24" t="s">
        <v>0</v>
      </c>
      <c r="C36" s="25" t="s">
        <v>1</v>
      </c>
      <c r="D36" s="25" t="s">
        <v>2</v>
      </c>
      <c r="E36" s="25" t="s">
        <v>3</v>
      </c>
      <c r="F36" s="25" t="s">
        <v>4</v>
      </c>
      <c r="G36" s="25" t="s">
        <v>19</v>
      </c>
      <c r="H36" s="25" t="s">
        <v>20</v>
      </c>
      <c r="I36" s="25" t="s">
        <v>21</v>
      </c>
      <c r="J36" s="25" t="s">
        <v>22</v>
      </c>
      <c r="K36" s="25" t="s">
        <v>23</v>
      </c>
      <c r="L36" s="25" t="s">
        <v>24</v>
      </c>
      <c r="M36" s="25" t="s">
        <v>25</v>
      </c>
      <c r="N36" s="25" t="s">
        <v>26</v>
      </c>
      <c r="O36" s="25" t="s">
        <v>27</v>
      </c>
      <c r="P36" s="25" t="s">
        <v>28</v>
      </c>
      <c r="Q36" s="25" t="s">
        <v>29</v>
      </c>
      <c r="R36" s="25" t="s">
        <v>30</v>
      </c>
      <c r="S36" s="25" t="s">
        <v>31</v>
      </c>
      <c r="T36" s="25" t="s">
        <v>32</v>
      </c>
      <c r="U36" s="25" t="s">
        <v>33</v>
      </c>
      <c r="V36" s="25" t="s">
        <v>34</v>
      </c>
      <c r="W36" s="26" t="s">
        <v>12</v>
      </c>
      <c r="Z36" s="8"/>
      <c r="AD36" s="13"/>
    </row>
    <row r="37" spans="1:35" ht="15.75" thickBot="1" x14ac:dyDescent="0.3">
      <c r="A37" s="12" t="s">
        <v>35</v>
      </c>
      <c r="B37" s="39">
        <f t="shared" ref="B37:B49" si="18">B21</f>
        <v>589</v>
      </c>
      <c r="C37" s="39">
        <f t="shared" ref="C37:W37" si="19">B37+C21</f>
        <v>1225</v>
      </c>
      <c r="D37" s="39">
        <f t="shared" si="19"/>
        <v>1654</v>
      </c>
      <c r="E37" s="39">
        <f t="shared" si="19"/>
        <v>2175</v>
      </c>
      <c r="F37" s="39">
        <f t="shared" si="19"/>
        <v>2463</v>
      </c>
      <c r="G37" s="39">
        <f t="shared" si="19"/>
        <v>2770</v>
      </c>
      <c r="H37" s="39">
        <f t="shared" si="19"/>
        <v>3385</v>
      </c>
      <c r="I37" s="39">
        <f t="shared" si="19"/>
        <v>4015</v>
      </c>
      <c r="J37" s="39">
        <f t="shared" si="19"/>
        <v>4425</v>
      </c>
      <c r="K37" s="39">
        <f t="shared" si="19"/>
        <v>4702</v>
      </c>
      <c r="L37" s="39">
        <f t="shared" si="19"/>
        <v>5234</v>
      </c>
      <c r="M37" s="39">
        <f t="shared" si="19"/>
        <v>5442</v>
      </c>
      <c r="N37" s="39">
        <f t="shared" si="19"/>
        <v>5815</v>
      </c>
      <c r="O37" s="39">
        <f t="shared" si="19"/>
        <v>6358</v>
      </c>
      <c r="P37" s="39">
        <f t="shared" si="19"/>
        <v>6898</v>
      </c>
      <c r="Q37" s="39">
        <f t="shared" si="19"/>
        <v>7414</v>
      </c>
      <c r="R37" s="39">
        <f t="shared" si="19"/>
        <v>7877</v>
      </c>
      <c r="S37" s="39">
        <f t="shared" si="19"/>
        <v>8342</v>
      </c>
      <c r="T37" s="39">
        <f t="shared" si="19"/>
        <v>8467</v>
      </c>
      <c r="U37" s="39">
        <f t="shared" si="19"/>
        <v>9020</v>
      </c>
      <c r="V37" s="39">
        <f t="shared" si="19"/>
        <v>9525</v>
      </c>
      <c r="W37" s="40">
        <f t="shared" si="19"/>
        <v>11350</v>
      </c>
      <c r="Z37" s="35" t="s">
        <v>13</v>
      </c>
      <c r="AA37" s="36"/>
      <c r="AB37" s="37">
        <f>AVERAGE(W45:W49)</f>
        <v>8602.6</v>
      </c>
      <c r="AD37" s="13"/>
    </row>
    <row r="38" spans="1:35" ht="15.75" thickBot="1" x14ac:dyDescent="0.3">
      <c r="A38" s="12" t="s">
        <v>55</v>
      </c>
      <c r="B38" s="39">
        <f t="shared" si="18"/>
        <v>388</v>
      </c>
      <c r="C38" s="39">
        <f t="shared" ref="C38:W38" si="20">B38+C22</f>
        <v>928</v>
      </c>
      <c r="D38" s="39">
        <f t="shared" si="20"/>
        <v>1294</v>
      </c>
      <c r="E38" s="39">
        <f t="shared" si="20"/>
        <v>1680</v>
      </c>
      <c r="F38" s="39">
        <f t="shared" si="20"/>
        <v>1928</v>
      </c>
      <c r="G38" s="39">
        <f t="shared" si="20"/>
        <v>2091</v>
      </c>
      <c r="H38" s="39">
        <f t="shared" si="20"/>
        <v>2481</v>
      </c>
      <c r="I38" s="39">
        <f t="shared" si="20"/>
        <v>3023</v>
      </c>
      <c r="J38" s="39">
        <f t="shared" si="20"/>
        <v>3326</v>
      </c>
      <c r="K38" s="39">
        <f t="shared" si="20"/>
        <v>3721</v>
      </c>
      <c r="L38" s="39">
        <f t="shared" si="20"/>
        <v>4194</v>
      </c>
      <c r="M38" s="39">
        <f t="shared" si="20"/>
        <v>4333</v>
      </c>
      <c r="N38" s="39">
        <f t="shared" si="20"/>
        <v>4741</v>
      </c>
      <c r="O38" s="39">
        <f t="shared" si="20"/>
        <v>5091</v>
      </c>
      <c r="P38" s="39">
        <f t="shared" si="20"/>
        <v>5578</v>
      </c>
      <c r="Q38" s="39">
        <f t="shared" si="20"/>
        <v>5913</v>
      </c>
      <c r="R38" s="39">
        <f t="shared" si="20"/>
        <v>6300</v>
      </c>
      <c r="S38" s="39">
        <f t="shared" si="20"/>
        <v>6616</v>
      </c>
      <c r="T38" s="39">
        <f t="shared" si="20"/>
        <v>6713</v>
      </c>
      <c r="U38" s="39">
        <f t="shared" si="20"/>
        <v>7096</v>
      </c>
      <c r="V38" s="39">
        <f t="shared" si="20"/>
        <v>7442</v>
      </c>
      <c r="W38" s="40">
        <v>8671</v>
      </c>
      <c r="Z38" s="66" t="s">
        <v>14</v>
      </c>
      <c r="AA38" s="67"/>
      <c r="AB38" s="37">
        <f>AVERAGE(W39:W44)</f>
        <v>8958</v>
      </c>
      <c r="AC38" s="9"/>
      <c r="AD38" s="9"/>
      <c r="AE38" s="9"/>
      <c r="AF38" s="9"/>
      <c r="AG38" s="9"/>
      <c r="AH38" s="9"/>
      <c r="AI38" s="9"/>
    </row>
    <row r="39" spans="1:35" x14ac:dyDescent="0.25">
      <c r="A39" s="12" t="s">
        <v>16</v>
      </c>
      <c r="B39" s="39">
        <f t="shared" si="18"/>
        <v>455</v>
      </c>
      <c r="C39" s="39">
        <f t="shared" ref="C39:W39" si="21">B39+C23</f>
        <v>924</v>
      </c>
      <c r="D39" s="39">
        <f t="shared" si="21"/>
        <v>1401</v>
      </c>
      <c r="E39" s="39">
        <f t="shared" si="21"/>
        <v>1725</v>
      </c>
      <c r="F39" s="39">
        <f t="shared" si="21"/>
        <v>1944</v>
      </c>
      <c r="G39" s="39">
        <f t="shared" si="21"/>
        <v>2122</v>
      </c>
      <c r="H39" s="39">
        <f t="shared" si="21"/>
        <v>2596</v>
      </c>
      <c r="I39" s="39">
        <f t="shared" si="21"/>
        <v>3334</v>
      </c>
      <c r="J39" s="39">
        <f t="shared" si="21"/>
        <v>3647</v>
      </c>
      <c r="K39" s="39">
        <f t="shared" si="21"/>
        <v>3895</v>
      </c>
      <c r="L39" s="39">
        <f t="shared" si="21"/>
        <v>4249</v>
      </c>
      <c r="M39" s="39">
        <f t="shared" si="21"/>
        <v>4410</v>
      </c>
      <c r="N39" s="39">
        <f t="shared" si="21"/>
        <v>4816</v>
      </c>
      <c r="O39" s="39">
        <f t="shared" si="21"/>
        <v>5301</v>
      </c>
      <c r="P39" s="39">
        <f t="shared" si="21"/>
        <v>5778</v>
      </c>
      <c r="Q39" s="39">
        <f t="shared" si="21"/>
        <v>6285</v>
      </c>
      <c r="R39" s="39">
        <f t="shared" si="21"/>
        <v>6811</v>
      </c>
      <c r="S39" s="39">
        <f t="shared" si="21"/>
        <v>7132</v>
      </c>
      <c r="T39" s="39">
        <f t="shared" si="21"/>
        <v>7265</v>
      </c>
      <c r="U39" s="39">
        <f t="shared" si="21"/>
        <v>7883</v>
      </c>
      <c r="V39" s="39">
        <f t="shared" si="21"/>
        <v>8225</v>
      </c>
      <c r="W39" s="40">
        <v>9985</v>
      </c>
      <c r="Z39" s="66" t="s">
        <v>18</v>
      </c>
      <c r="AA39" s="67"/>
      <c r="AB39" s="37">
        <f>W38</f>
        <v>8671</v>
      </c>
      <c r="AC39" s="9"/>
      <c r="AD39" s="9"/>
      <c r="AE39" s="9"/>
      <c r="AF39" s="9"/>
      <c r="AG39" s="9"/>
      <c r="AH39" s="9"/>
      <c r="AI39" s="10"/>
    </row>
    <row r="40" spans="1:35" x14ac:dyDescent="0.25">
      <c r="A40" s="12" t="s">
        <v>11</v>
      </c>
      <c r="B40" s="39">
        <f t="shared" si="18"/>
        <v>359</v>
      </c>
      <c r="C40" s="39">
        <f t="shared" ref="C40:W40" si="22">B40+C24</f>
        <v>816</v>
      </c>
      <c r="D40" s="39">
        <f t="shared" si="22"/>
        <v>1062</v>
      </c>
      <c r="E40" s="39">
        <f t="shared" si="22"/>
        <v>1293</v>
      </c>
      <c r="F40" s="39">
        <f t="shared" si="22"/>
        <v>1452</v>
      </c>
      <c r="G40" s="39">
        <f t="shared" si="22"/>
        <v>1609</v>
      </c>
      <c r="H40" s="39">
        <f t="shared" si="22"/>
        <v>1971</v>
      </c>
      <c r="I40" s="39">
        <f t="shared" si="22"/>
        <v>2570</v>
      </c>
      <c r="J40" s="39">
        <f t="shared" si="22"/>
        <v>2899</v>
      </c>
      <c r="K40" s="39">
        <f t="shared" si="22"/>
        <v>3325</v>
      </c>
      <c r="L40" s="39">
        <f t="shared" si="22"/>
        <v>3443</v>
      </c>
      <c r="M40" s="39">
        <f t="shared" si="22"/>
        <v>3582</v>
      </c>
      <c r="N40" s="39">
        <f t="shared" si="22"/>
        <v>3696</v>
      </c>
      <c r="O40" s="39">
        <f t="shared" si="22"/>
        <v>4057</v>
      </c>
      <c r="P40" s="39">
        <f t="shared" si="22"/>
        <v>4649</v>
      </c>
      <c r="Q40" s="39">
        <f t="shared" si="22"/>
        <v>5018</v>
      </c>
      <c r="R40" s="39">
        <f t="shared" si="22"/>
        <v>5476</v>
      </c>
      <c r="S40" s="39">
        <f t="shared" si="22"/>
        <v>5581</v>
      </c>
      <c r="T40" s="39">
        <f t="shared" si="22"/>
        <v>5696</v>
      </c>
      <c r="U40" s="39">
        <f t="shared" si="22"/>
        <v>6162</v>
      </c>
      <c r="V40" s="39">
        <f t="shared" si="22"/>
        <v>6303</v>
      </c>
      <c r="W40" s="40">
        <v>7843</v>
      </c>
      <c r="Z40" s="10"/>
      <c r="AA40" s="9"/>
      <c r="AB40" s="9"/>
      <c r="AC40" s="9"/>
      <c r="AD40" s="9"/>
      <c r="AE40" s="9"/>
      <c r="AF40" s="9"/>
      <c r="AG40" s="9"/>
      <c r="AH40" s="9"/>
      <c r="AI40" s="10"/>
    </row>
    <row r="41" spans="1:35" x14ac:dyDescent="0.25">
      <c r="A41" s="12" t="s">
        <v>37</v>
      </c>
      <c r="B41" s="39">
        <f t="shared" si="18"/>
        <v>223</v>
      </c>
      <c r="C41" s="39">
        <f t="shared" ref="C41:W41" si="23">B41+C25</f>
        <v>682</v>
      </c>
      <c r="D41" s="39">
        <f t="shared" si="23"/>
        <v>897</v>
      </c>
      <c r="E41" s="39">
        <f t="shared" si="23"/>
        <v>1107</v>
      </c>
      <c r="F41" s="39">
        <f t="shared" si="23"/>
        <v>1257</v>
      </c>
      <c r="G41" s="39">
        <f t="shared" si="23"/>
        <v>1563</v>
      </c>
      <c r="H41" s="39">
        <f t="shared" si="23"/>
        <v>2092</v>
      </c>
      <c r="I41" s="39">
        <f t="shared" si="23"/>
        <v>2544</v>
      </c>
      <c r="J41" s="39">
        <f t="shared" si="23"/>
        <v>2859</v>
      </c>
      <c r="K41" s="39">
        <f t="shared" si="23"/>
        <v>3087</v>
      </c>
      <c r="L41" s="39">
        <f t="shared" si="23"/>
        <v>3194</v>
      </c>
      <c r="M41" s="39">
        <f t="shared" si="23"/>
        <v>3361</v>
      </c>
      <c r="N41" s="39">
        <f t="shared" si="23"/>
        <v>3581</v>
      </c>
      <c r="O41" s="39">
        <f t="shared" si="23"/>
        <v>4113</v>
      </c>
      <c r="P41" s="39">
        <f t="shared" si="23"/>
        <v>4558</v>
      </c>
      <c r="Q41" s="39">
        <f t="shared" si="23"/>
        <v>5023</v>
      </c>
      <c r="R41" s="39">
        <f t="shared" si="23"/>
        <v>5500</v>
      </c>
      <c r="S41" s="39">
        <f t="shared" si="23"/>
        <v>5605</v>
      </c>
      <c r="T41" s="39">
        <f t="shared" si="23"/>
        <v>5901</v>
      </c>
      <c r="U41" s="39">
        <f t="shared" si="23"/>
        <v>6354</v>
      </c>
      <c r="V41" s="39">
        <f t="shared" si="23"/>
        <v>6565</v>
      </c>
      <c r="W41" s="40">
        <v>7860</v>
      </c>
      <c r="Z41" s="10"/>
      <c r="AA41" s="9"/>
      <c r="AB41" s="9"/>
      <c r="AC41" s="9"/>
      <c r="AD41" s="9"/>
      <c r="AE41" s="9"/>
      <c r="AF41" s="9"/>
      <c r="AG41" s="9"/>
      <c r="AH41" s="9"/>
      <c r="AI41" s="10"/>
    </row>
    <row r="42" spans="1:35" x14ac:dyDescent="0.25">
      <c r="A42" s="12" t="s">
        <v>17</v>
      </c>
      <c r="B42" s="39">
        <f t="shared" si="18"/>
        <v>236</v>
      </c>
      <c r="C42" s="39">
        <f t="shared" ref="C42:W42" si="24">B42+C26</f>
        <v>593</v>
      </c>
      <c r="D42" s="39">
        <f t="shared" si="24"/>
        <v>928</v>
      </c>
      <c r="E42" s="39">
        <f t="shared" si="24"/>
        <v>1282</v>
      </c>
      <c r="F42" s="39">
        <f t="shared" si="24"/>
        <v>1513</v>
      </c>
      <c r="G42" s="39">
        <f t="shared" si="24"/>
        <v>1631</v>
      </c>
      <c r="H42" s="39">
        <f t="shared" si="24"/>
        <v>2123</v>
      </c>
      <c r="I42" s="39">
        <f t="shared" si="24"/>
        <v>2743</v>
      </c>
      <c r="J42" s="39">
        <f t="shared" si="24"/>
        <v>3039</v>
      </c>
      <c r="K42" s="39">
        <f t="shared" si="24"/>
        <v>3206</v>
      </c>
      <c r="L42" s="39">
        <f t="shared" si="24"/>
        <v>3678</v>
      </c>
      <c r="M42" s="39">
        <f t="shared" si="24"/>
        <v>3839</v>
      </c>
      <c r="N42" s="39">
        <f t="shared" si="24"/>
        <v>4253</v>
      </c>
      <c r="O42" s="39">
        <f t="shared" si="24"/>
        <v>4780</v>
      </c>
      <c r="P42" s="39">
        <f t="shared" si="24"/>
        <v>5377</v>
      </c>
      <c r="Q42" s="39">
        <f t="shared" si="24"/>
        <v>6074</v>
      </c>
      <c r="R42" s="39">
        <f t="shared" si="24"/>
        <v>6621</v>
      </c>
      <c r="S42" s="39">
        <f t="shared" si="24"/>
        <v>6966</v>
      </c>
      <c r="T42" s="39">
        <f t="shared" si="24"/>
        <v>7102</v>
      </c>
      <c r="U42" s="39">
        <f t="shared" si="24"/>
        <v>7780</v>
      </c>
      <c r="V42" s="39">
        <f t="shared" si="24"/>
        <v>8126</v>
      </c>
      <c r="W42" s="40">
        <v>9986</v>
      </c>
      <c r="Z42" s="10"/>
      <c r="AA42" s="9"/>
      <c r="AB42" s="9"/>
      <c r="AC42" s="9"/>
      <c r="AD42" s="9"/>
      <c r="AE42" s="9"/>
      <c r="AF42" s="9"/>
      <c r="AG42" s="9"/>
      <c r="AH42" s="9"/>
      <c r="AI42" s="10"/>
    </row>
    <row r="43" spans="1:35" x14ac:dyDescent="0.25">
      <c r="A43" s="12" t="s">
        <v>39</v>
      </c>
      <c r="B43" s="39">
        <f t="shared" si="18"/>
        <v>455</v>
      </c>
      <c r="C43" s="39">
        <f t="shared" ref="C43:W43" si="25">B43+C27</f>
        <v>908</v>
      </c>
      <c r="D43" s="39">
        <f t="shared" si="25"/>
        <v>1237</v>
      </c>
      <c r="E43" s="39">
        <f t="shared" si="25"/>
        <v>1613</v>
      </c>
      <c r="F43" s="39">
        <f t="shared" si="25"/>
        <v>1830</v>
      </c>
      <c r="G43" s="39">
        <f t="shared" si="25"/>
        <v>2002</v>
      </c>
      <c r="H43" s="39">
        <f t="shared" si="25"/>
        <v>2478</v>
      </c>
      <c r="I43" s="39">
        <f t="shared" si="25"/>
        <v>3210</v>
      </c>
      <c r="J43" s="39">
        <f t="shared" si="25"/>
        <v>3521</v>
      </c>
      <c r="K43" s="39">
        <f t="shared" si="25"/>
        <v>3900</v>
      </c>
      <c r="L43" s="39">
        <f t="shared" si="25"/>
        <v>4415</v>
      </c>
      <c r="M43" s="39">
        <f t="shared" si="25"/>
        <v>4577</v>
      </c>
      <c r="N43" s="39">
        <f t="shared" si="25"/>
        <v>5004</v>
      </c>
      <c r="O43" s="39">
        <f t="shared" si="25"/>
        <v>5492</v>
      </c>
      <c r="P43" s="39">
        <f t="shared" si="25"/>
        <v>5955</v>
      </c>
      <c r="Q43" s="39">
        <f t="shared" si="25"/>
        <v>6485</v>
      </c>
      <c r="R43" s="39">
        <f t="shared" si="25"/>
        <v>7050</v>
      </c>
      <c r="S43" s="39">
        <f t="shared" si="25"/>
        <v>7361</v>
      </c>
      <c r="T43" s="39">
        <f t="shared" si="25"/>
        <v>7500</v>
      </c>
      <c r="U43" s="39">
        <f t="shared" si="25"/>
        <v>8112</v>
      </c>
      <c r="V43" s="39">
        <f t="shared" si="25"/>
        <v>8532</v>
      </c>
      <c r="W43" s="40">
        <v>10337</v>
      </c>
      <c r="Z43" s="10"/>
      <c r="AA43" s="9"/>
      <c r="AB43" s="9"/>
      <c r="AC43" s="9"/>
      <c r="AD43" s="9"/>
      <c r="AE43" s="9"/>
      <c r="AF43" s="9"/>
      <c r="AG43" s="9"/>
      <c r="AH43" s="9"/>
      <c r="AI43" s="10"/>
    </row>
    <row r="44" spans="1:35" x14ac:dyDescent="0.25">
      <c r="A44" s="12" t="s">
        <v>56</v>
      </c>
      <c r="B44" s="39">
        <f t="shared" si="18"/>
        <v>346</v>
      </c>
      <c r="C44" s="39">
        <f t="shared" ref="C44:W44" si="26">B44+C28</f>
        <v>774</v>
      </c>
      <c r="D44" s="39">
        <f t="shared" si="26"/>
        <v>945</v>
      </c>
      <c r="E44" s="39">
        <f t="shared" si="26"/>
        <v>1184</v>
      </c>
      <c r="F44" s="39">
        <f t="shared" si="26"/>
        <v>1351</v>
      </c>
      <c r="G44" s="39">
        <f t="shared" si="26"/>
        <v>1691</v>
      </c>
      <c r="H44" s="39">
        <f t="shared" si="26"/>
        <v>2094</v>
      </c>
      <c r="I44" s="39">
        <f t="shared" si="26"/>
        <v>2687</v>
      </c>
      <c r="J44" s="39">
        <f t="shared" si="26"/>
        <v>2905</v>
      </c>
      <c r="K44" s="39">
        <f t="shared" si="26"/>
        <v>3024</v>
      </c>
      <c r="L44" s="39">
        <f t="shared" si="26"/>
        <v>3287</v>
      </c>
      <c r="M44" s="39">
        <f t="shared" si="26"/>
        <v>3675</v>
      </c>
      <c r="N44" s="39">
        <f t="shared" si="26"/>
        <v>3914</v>
      </c>
      <c r="O44" s="39">
        <f t="shared" si="26"/>
        <v>4263</v>
      </c>
      <c r="P44" s="39">
        <f t="shared" si="26"/>
        <v>4629</v>
      </c>
      <c r="Q44" s="39">
        <f t="shared" si="26"/>
        <v>5124</v>
      </c>
      <c r="R44" s="39">
        <f t="shared" si="26"/>
        <v>5650</v>
      </c>
      <c r="S44" s="39">
        <f t="shared" si="26"/>
        <v>5732</v>
      </c>
      <c r="T44" s="39">
        <f t="shared" si="26"/>
        <v>5929</v>
      </c>
      <c r="U44" s="39">
        <f t="shared" si="26"/>
        <v>6411</v>
      </c>
      <c r="V44" s="39">
        <f t="shared" si="26"/>
        <v>6497</v>
      </c>
      <c r="W44" s="40">
        <v>7737</v>
      </c>
      <c r="Z44" s="10"/>
      <c r="AA44" s="9"/>
      <c r="AB44" s="9"/>
      <c r="AC44" s="9"/>
      <c r="AD44" s="9"/>
      <c r="AE44" s="9"/>
      <c r="AF44" s="9"/>
      <c r="AG44" s="9"/>
      <c r="AH44" s="9"/>
      <c r="AI44" s="10"/>
    </row>
    <row r="45" spans="1:35" x14ac:dyDescent="0.25">
      <c r="A45" s="12" t="s">
        <v>5</v>
      </c>
      <c r="B45" s="39">
        <f t="shared" si="18"/>
        <v>445</v>
      </c>
      <c r="C45" s="39">
        <f t="shared" ref="C45:W45" si="27">B45+C29</f>
        <v>1000</v>
      </c>
      <c r="D45" s="39">
        <f t="shared" si="27"/>
        <v>1261</v>
      </c>
      <c r="E45" s="39">
        <f t="shared" si="27"/>
        <v>1527</v>
      </c>
      <c r="F45" s="39">
        <f t="shared" si="27"/>
        <v>1703</v>
      </c>
      <c r="G45" s="39">
        <f t="shared" si="27"/>
        <v>1843</v>
      </c>
      <c r="H45" s="39">
        <f t="shared" si="27"/>
        <v>2244</v>
      </c>
      <c r="I45" s="39">
        <f t="shared" si="27"/>
        <v>2910</v>
      </c>
      <c r="J45" s="39">
        <f t="shared" si="27"/>
        <v>3231</v>
      </c>
      <c r="K45" s="39">
        <f t="shared" si="27"/>
        <v>3362</v>
      </c>
      <c r="L45" s="39">
        <f t="shared" si="27"/>
        <v>3620</v>
      </c>
      <c r="M45" s="39">
        <f t="shared" si="27"/>
        <v>3750</v>
      </c>
      <c r="N45" s="39">
        <f t="shared" si="27"/>
        <v>3927</v>
      </c>
      <c r="O45" s="39">
        <f t="shared" si="27"/>
        <v>4301</v>
      </c>
      <c r="P45" s="39">
        <f t="shared" si="27"/>
        <v>4805</v>
      </c>
      <c r="Q45" s="39">
        <f t="shared" si="27"/>
        <v>5306</v>
      </c>
      <c r="R45" s="39">
        <f t="shared" si="27"/>
        <v>5875</v>
      </c>
      <c r="S45" s="39">
        <f t="shared" si="27"/>
        <v>6000</v>
      </c>
      <c r="T45" s="39">
        <f t="shared" si="27"/>
        <v>6102</v>
      </c>
      <c r="U45" s="39">
        <f t="shared" si="27"/>
        <v>6749</v>
      </c>
      <c r="V45" s="39">
        <f t="shared" si="27"/>
        <v>6916</v>
      </c>
      <c r="W45" s="40">
        <v>8476</v>
      </c>
      <c r="Z45" s="10"/>
      <c r="AA45" s="9"/>
      <c r="AB45" s="9"/>
      <c r="AC45" s="9"/>
      <c r="AD45" s="9"/>
      <c r="AE45" s="9"/>
      <c r="AF45" s="9"/>
      <c r="AG45" s="9"/>
      <c r="AH45" s="9"/>
      <c r="AI45" s="10"/>
    </row>
    <row r="46" spans="1:35" x14ac:dyDescent="0.25">
      <c r="A46" s="12" t="s">
        <v>15</v>
      </c>
      <c r="B46" s="39">
        <f t="shared" si="18"/>
        <v>219</v>
      </c>
      <c r="C46" s="39">
        <f t="shared" ref="C46:W46" si="28">B46+C30</f>
        <v>738</v>
      </c>
      <c r="D46" s="39">
        <f t="shared" si="28"/>
        <v>1082</v>
      </c>
      <c r="E46" s="39">
        <f t="shared" si="28"/>
        <v>1445</v>
      </c>
      <c r="F46" s="39">
        <f t="shared" si="28"/>
        <v>1675</v>
      </c>
      <c r="G46" s="39">
        <f t="shared" si="28"/>
        <v>1772</v>
      </c>
      <c r="H46" s="39">
        <f t="shared" si="28"/>
        <v>2231</v>
      </c>
      <c r="I46" s="39">
        <f t="shared" si="28"/>
        <v>2644</v>
      </c>
      <c r="J46" s="39">
        <f t="shared" si="28"/>
        <v>2910</v>
      </c>
      <c r="K46" s="39">
        <f t="shared" si="28"/>
        <v>3516</v>
      </c>
      <c r="L46" s="39">
        <f t="shared" si="28"/>
        <v>3980</v>
      </c>
      <c r="M46" s="39">
        <f t="shared" si="28"/>
        <v>4111</v>
      </c>
      <c r="N46" s="39">
        <f t="shared" si="28"/>
        <v>4515</v>
      </c>
      <c r="O46" s="39">
        <f t="shared" si="28"/>
        <v>4810</v>
      </c>
      <c r="P46" s="39">
        <f t="shared" si="28"/>
        <v>5312</v>
      </c>
      <c r="Q46" s="39">
        <f t="shared" si="28"/>
        <v>5691</v>
      </c>
      <c r="R46" s="39">
        <f t="shared" si="28"/>
        <v>6111</v>
      </c>
      <c r="S46" s="39">
        <f t="shared" si="28"/>
        <v>6419</v>
      </c>
      <c r="T46" s="39">
        <f t="shared" si="28"/>
        <v>6516</v>
      </c>
      <c r="U46" s="39">
        <f t="shared" si="28"/>
        <v>7060</v>
      </c>
      <c r="V46" s="39">
        <f t="shared" si="28"/>
        <v>7368</v>
      </c>
      <c r="W46" s="40">
        <f t="shared" si="28"/>
        <v>8638</v>
      </c>
      <c r="Z46" s="10"/>
      <c r="AA46" s="9"/>
      <c r="AB46" s="9"/>
      <c r="AC46" s="9"/>
      <c r="AD46" s="9"/>
      <c r="AE46" s="9"/>
      <c r="AF46" s="9"/>
      <c r="AG46" s="9"/>
      <c r="AH46" s="9"/>
      <c r="AI46" s="10"/>
    </row>
    <row r="47" spans="1:35" x14ac:dyDescent="0.25">
      <c r="A47" s="12" t="s">
        <v>57</v>
      </c>
      <c r="B47" s="39">
        <f t="shared" si="18"/>
        <v>386</v>
      </c>
      <c r="C47" s="39">
        <f t="shared" ref="C47:W47" si="29">B47+C31</f>
        <v>938</v>
      </c>
      <c r="D47" s="39">
        <f t="shared" si="29"/>
        <v>1177</v>
      </c>
      <c r="E47" s="39">
        <f t="shared" si="29"/>
        <v>1421</v>
      </c>
      <c r="F47" s="39">
        <f t="shared" si="29"/>
        <v>1598</v>
      </c>
      <c r="G47" s="39">
        <f t="shared" si="29"/>
        <v>1759</v>
      </c>
      <c r="H47" s="39">
        <f t="shared" si="29"/>
        <v>2164</v>
      </c>
      <c r="I47" s="39">
        <f t="shared" si="29"/>
        <v>2819</v>
      </c>
      <c r="J47" s="39">
        <f t="shared" si="29"/>
        <v>3161</v>
      </c>
      <c r="K47" s="39">
        <f t="shared" si="29"/>
        <v>3512</v>
      </c>
      <c r="L47" s="39">
        <f t="shared" si="29"/>
        <v>3612</v>
      </c>
      <c r="M47" s="39">
        <f t="shared" si="29"/>
        <v>3741</v>
      </c>
      <c r="N47" s="39">
        <f t="shared" si="29"/>
        <v>3841</v>
      </c>
      <c r="O47" s="39">
        <f t="shared" si="29"/>
        <v>4168</v>
      </c>
      <c r="P47" s="39">
        <f t="shared" si="29"/>
        <v>4754</v>
      </c>
      <c r="Q47" s="39">
        <f t="shared" si="29"/>
        <v>5139</v>
      </c>
      <c r="R47" s="39">
        <f t="shared" si="29"/>
        <v>5639</v>
      </c>
      <c r="S47" s="39">
        <f t="shared" si="29"/>
        <v>5729</v>
      </c>
      <c r="T47" s="39">
        <f t="shared" si="29"/>
        <v>5831</v>
      </c>
      <c r="U47" s="39">
        <f t="shared" si="29"/>
        <v>6343</v>
      </c>
      <c r="V47" s="39">
        <f t="shared" si="29"/>
        <v>6473</v>
      </c>
      <c r="W47" s="40">
        <f t="shared" si="29"/>
        <v>7823</v>
      </c>
      <c r="Z47" s="10"/>
      <c r="AA47" s="9"/>
      <c r="AB47" s="9"/>
      <c r="AC47" s="9"/>
      <c r="AD47" s="9"/>
      <c r="AE47" s="9"/>
      <c r="AF47" s="9"/>
      <c r="AG47" s="9"/>
      <c r="AH47" s="9"/>
      <c r="AI47" s="10"/>
    </row>
    <row r="48" spans="1:35" x14ac:dyDescent="0.25">
      <c r="A48" s="12" t="s">
        <v>40</v>
      </c>
      <c r="B48" s="39">
        <f t="shared" si="18"/>
        <v>335</v>
      </c>
      <c r="C48" s="39">
        <f t="shared" ref="C48:W48" si="30">B48+C32</f>
        <v>791</v>
      </c>
      <c r="D48" s="39">
        <f t="shared" si="30"/>
        <v>1171</v>
      </c>
      <c r="E48" s="39">
        <f t="shared" si="30"/>
        <v>1546</v>
      </c>
      <c r="F48" s="39">
        <f t="shared" si="30"/>
        <v>1788</v>
      </c>
      <c r="G48" s="39">
        <f t="shared" si="30"/>
        <v>1965</v>
      </c>
      <c r="H48" s="39">
        <f t="shared" si="30"/>
        <v>2476</v>
      </c>
      <c r="I48" s="39">
        <f t="shared" si="30"/>
        <v>3002</v>
      </c>
      <c r="J48" s="39">
        <f t="shared" si="30"/>
        <v>3287</v>
      </c>
      <c r="K48" s="39">
        <f t="shared" si="30"/>
        <v>3660</v>
      </c>
      <c r="L48" s="39">
        <f t="shared" si="30"/>
        <v>4129</v>
      </c>
      <c r="M48" s="39">
        <f t="shared" si="30"/>
        <v>4273</v>
      </c>
      <c r="N48" s="39">
        <f t="shared" si="30"/>
        <v>4682</v>
      </c>
      <c r="O48" s="39">
        <f t="shared" si="30"/>
        <v>5073</v>
      </c>
      <c r="P48" s="39">
        <f t="shared" si="30"/>
        <v>5493</v>
      </c>
      <c r="Q48" s="39">
        <f t="shared" si="30"/>
        <v>5880</v>
      </c>
      <c r="R48" s="39">
        <f t="shared" si="30"/>
        <v>6252</v>
      </c>
      <c r="S48" s="39">
        <f t="shared" si="30"/>
        <v>6576</v>
      </c>
      <c r="T48" s="39">
        <f t="shared" si="30"/>
        <v>6689</v>
      </c>
      <c r="U48" s="39">
        <f t="shared" si="30"/>
        <v>7125</v>
      </c>
      <c r="V48" s="39">
        <f t="shared" si="30"/>
        <v>7450</v>
      </c>
      <c r="W48" s="40">
        <f t="shared" si="30"/>
        <v>8890</v>
      </c>
      <c r="Z48" s="10"/>
      <c r="AA48" s="9"/>
      <c r="AB48" s="9"/>
      <c r="AC48" s="9"/>
      <c r="AD48" s="9"/>
      <c r="AE48" s="9"/>
      <c r="AF48" s="9"/>
      <c r="AG48" s="9"/>
      <c r="AH48" s="9"/>
      <c r="AI48" s="10"/>
    </row>
    <row r="49" spans="1:35" x14ac:dyDescent="0.25">
      <c r="A49" s="12" t="s">
        <v>58</v>
      </c>
      <c r="B49" s="39">
        <f t="shared" si="18"/>
        <v>315</v>
      </c>
      <c r="C49" s="39">
        <f t="shared" ref="C49:W49" si="31">B49+C33</f>
        <v>777</v>
      </c>
      <c r="D49" s="39">
        <f t="shared" si="31"/>
        <v>1137</v>
      </c>
      <c r="E49" s="39">
        <f t="shared" si="31"/>
        <v>1508</v>
      </c>
      <c r="F49" s="39">
        <f t="shared" si="31"/>
        <v>1746</v>
      </c>
      <c r="G49" s="39">
        <f t="shared" si="31"/>
        <v>1879</v>
      </c>
      <c r="H49" s="39">
        <f t="shared" si="31"/>
        <v>2298</v>
      </c>
      <c r="I49" s="39">
        <f t="shared" si="31"/>
        <v>2844</v>
      </c>
      <c r="J49" s="39">
        <f t="shared" si="31"/>
        <v>3133</v>
      </c>
      <c r="K49" s="39">
        <f t="shared" si="31"/>
        <v>3580</v>
      </c>
      <c r="L49" s="39">
        <f t="shared" si="31"/>
        <v>4061</v>
      </c>
      <c r="M49" s="39">
        <f t="shared" si="31"/>
        <v>4208</v>
      </c>
      <c r="N49" s="39">
        <f t="shared" si="31"/>
        <v>4624</v>
      </c>
      <c r="O49" s="39">
        <f t="shared" si="31"/>
        <v>5048</v>
      </c>
      <c r="P49" s="39">
        <f t="shared" si="31"/>
        <v>5500</v>
      </c>
      <c r="Q49" s="39">
        <f t="shared" si="31"/>
        <v>5925</v>
      </c>
      <c r="R49" s="39">
        <f t="shared" si="31"/>
        <v>6285</v>
      </c>
      <c r="S49" s="39">
        <f t="shared" si="31"/>
        <v>6617</v>
      </c>
      <c r="T49" s="39">
        <f t="shared" si="31"/>
        <v>6738</v>
      </c>
      <c r="U49" s="39">
        <f t="shared" si="31"/>
        <v>7367</v>
      </c>
      <c r="V49" s="39">
        <f t="shared" si="31"/>
        <v>7701</v>
      </c>
      <c r="W49" s="40">
        <f t="shared" si="31"/>
        <v>9186</v>
      </c>
      <c r="Z49" s="10"/>
      <c r="AA49" s="9"/>
      <c r="AB49" s="9"/>
      <c r="AC49" s="9"/>
      <c r="AD49" s="9"/>
      <c r="AE49" s="9"/>
      <c r="AF49" s="9"/>
      <c r="AG49" s="9"/>
      <c r="AH49" s="9"/>
      <c r="AI49" s="10"/>
    </row>
    <row r="50" spans="1:35" ht="15.75" thickBot="1" x14ac:dyDescent="0.3">
      <c r="Z50" s="10"/>
      <c r="AA50" s="9"/>
      <c r="AB50" s="9"/>
      <c r="AC50" s="9"/>
      <c r="AD50" s="9"/>
      <c r="AE50" s="9"/>
      <c r="AF50" s="9"/>
      <c r="AG50" s="9"/>
      <c r="AH50" s="9"/>
      <c r="AI50" s="10"/>
    </row>
    <row r="51" spans="1:35" ht="29.45" customHeight="1" thickBot="1" x14ac:dyDescent="0.3">
      <c r="A51" s="38"/>
      <c r="B51" s="24" t="s">
        <v>0</v>
      </c>
      <c r="C51" s="25" t="s">
        <v>1</v>
      </c>
      <c r="D51" s="25" t="s">
        <v>2</v>
      </c>
      <c r="E51" s="25" t="s">
        <v>3</v>
      </c>
      <c r="F51" s="25" t="s">
        <v>4</v>
      </c>
      <c r="G51" s="25" t="s">
        <v>19</v>
      </c>
      <c r="H51" s="25" t="s">
        <v>20</v>
      </c>
      <c r="I51" s="25" t="s">
        <v>21</v>
      </c>
      <c r="J51" s="25" t="s">
        <v>22</v>
      </c>
      <c r="K51" s="25" t="s">
        <v>23</v>
      </c>
      <c r="L51" s="25" t="s">
        <v>24</v>
      </c>
      <c r="M51" s="25" t="s">
        <v>25</v>
      </c>
      <c r="N51" s="25" t="s">
        <v>26</v>
      </c>
      <c r="O51" s="25" t="s">
        <v>27</v>
      </c>
      <c r="P51" s="25" t="s">
        <v>28</v>
      </c>
      <c r="Q51" s="25" t="s">
        <v>29</v>
      </c>
      <c r="R51" s="25" t="s">
        <v>30</v>
      </c>
      <c r="S51" s="25" t="s">
        <v>31</v>
      </c>
      <c r="T51" s="25" t="s">
        <v>32</v>
      </c>
      <c r="U51" s="25" t="s">
        <v>33</v>
      </c>
      <c r="V51" s="25" t="s">
        <v>34</v>
      </c>
      <c r="W51" s="26" t="s">
        <v>12</v>
      </c>
      <c r="Z51" s="10"/>
      <c r="AA51" s="9"/>
      <c r="AB51" s="9"/>
      <c r="AC51" s="9"/>
      <c r="AD51" s="9"/>
      <c r="AE51" s="9"/>
      <c r="AF51" s="9"/>
      <c r="AG51" s="9"/>
      <c r="AH51" s="9"/>
      <c r="AI51" s="10"/>
    </row>
    <row r="52" spans="1:35" x14ac:dyDescent="0.25">
      <c r="A52" s="12" t="s">
        <v>35</v>
      </c>
      <c r="B52" s="74">
        <f t="shared" ref="B52:W52" si="32">RANK(B37,B$37:B$49,0)</f>
        <v>1</v>
      </c>
      <c r="C52" s="74">
        <f t="shared" si="32"/>
        <v>1</v>
      </c>
      <c r="D52" s="74">
        <f t="shared" si="32"/>
        <v>1</v>
      </c>
      <c r="E52" s="74">
        <f t="shared" si="32"/>
        <v>1</v>
      </c>
      <c r="F52" s="74">
        <f t="shared" si="32"/>
        <v>1</v>
      </c>
      <c r="G52" s="74">
        <f t="shared" si="32"/>
        <v>1</v>
      </c>
      <c r="H52" s="74">
        <f t="shared" si="32"/>
        <v>1</v>
      </c>
      <c r="I52" s="74">
        <f t="shared" si="32"/>
        <v>1</v>
      </c>
      <c r="J52" s="74">
        <f t="shared" si="32"/>
        <v>1</v>
      </c>
      <c r="K52" s="74">
        <f t="shared" si="32"/>
        <v>1</v>
      </c>
      <c r="L52" s="74">
        <f t="shared" si="32"/>
        <v>1</v>
      </c>
      <c r="M52" s="74">
        <f t="shared" si="32"/>
        <v>1</v>
      </c>
      <c r="N52" s="74">
        <f t="shared" si="32"/>
        <v>1</v>
      </c>
      <c r="O52" s="74">
        <f t="shared" si="32"/>
        <v>1</v>
      </c>
      <c r="P52" s="74">
        <f t="shared" si="32"/>
        <v>1</v>
      </c>
      <c r="Q52" s="74">
        <f t="shared" si="32"/>
        <v>1</v>
      </c>
      <c r="R52" s="74">
        <f t="shared" si="32"/>
        <v>1</v>
      </c>
      <c r="S52" s="74">
        <f t="shared" si="32"/>
        <v>1</v>
      </c>
      <c r="T52" s="74">
        <f t="shared" si="32"/>
        <v>1</v>
      </c>
      <c r="U52" s="74">
        <f t="shared" si="32"/>
        <v>1</v>
      </c>
      <c r="V52" s="74">
        <f t="shared" si="32"/>
        <v>1</v>
      </c>
      <c r="W52" s="75">
        <f t="shared" si="32"/>
        <v>1</v>
      </c>
      <c r="Z52" s="10"/>
      <c r="AA52" s="9"/>
      <c r="AB52" s="9"/>
      <c r="AC52" s="9"/>
      <c r="AD52" s="9"/>
      <c r="AE52" s="9"/>
      <c r="AF52" s="9"/>
      <c r="AG52" s="9"/>
      <c r="AH52" s="9"/>
      <c r="AI52" s="10"/>
    </row>
    <row r="53" spans="1:35" x14ac:dyDescent="0.25">
      <c r="A53" s="12" t="s">
        <v>55</v>
      </c>
      <c r="B53" s="74">
        <f t="shared" ref="B53:W53" si="33">RANK(B38,B$37:B$49,0)</f>
        <v>5</v>
      </c>
      <c r="C53" s="74">
        <f t="shared" si="33"/>
        <v>4</v>
      </c>
      <c r="D53" s="74">
        <f t="shared" si="33"/>
        <v>3</v>
      </c>
      <c r="E53" s="74">
        <f t="shared" si="33"/>
        <v>3</v>
      </c>
      <c r="F53" s="74">
        <f t="shared" si="33"/>
        <v>3</v>
      </c>
      <c r="G53" s="74">
        <f t="shared" si="33"/>
        <v>3</v>
      </c>
      <c r="H53" s="74">
        <f t="shared" si="33"/>
        <v>3</v>
      </c>
      <c r="I53" s="74">
        <f t="shared" si="33"/>
        <v>4</v>
      </c>
      <c r="J53" s="74">
        <f t="shared" si="33"/>
        <v>4</v>
      </c>
      <c r="K53" s="74">
        <f t="shared" si="33"/>
        <v>4</v>
      </c>
      <c r="L53" s="74">
        <f t="shared" si="33"/>
        <v>4</v>
      </c>
      <c r="M53" s="74">
        <f t="shared" si="33"/>
        <v>4</v>
      </c>
      <c r="N53" s="74">
        <f t="shared" si="33"/>
        <v>4</v>
      </c>
      <c r="O53" s="74">
        <f t="shared" si="33"/>
        <v>4</v>
      </c>
      <c r="P53" s="74">
        <f t="shared" si="33"/>
        <v>4</v>
      </c>
      <c r="Q53" s="74">
        <f t="shared" si="33"/>
        <v>6</v>
      </c>
      <c r="R53" s="74">
        <f t="shared" si="33"/>
        <v>5</v>
      </c>
      <c r="S53" s="74">
        <f t="shared" si="33"/>
        <v>6</v>
      </c>
      <c r="T53" s="74">
        <f t="shared" si="33"/>
        <v>6</v>
      </c>
      <c r="U53" s="74">
        <f t="shared" si="33"/>
        <v>7</v>
      </c>
      <c r="V53" s="74">
        <f t="shared" si="33"/>
        <v>7</v>
      </c>
      <c r="W53" s="75">
        <f t="shared" si="33"/>
        <v>7</v>
      </c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spans="1:35" x14ac:dyDescent="0.25">
      <c r="A54" s="12" t="s">
        <v>16</v>
      </c>
      <c r="B54" s="74">
        <f t="shared" ref="B54:W54" si="34">RANK(B39,B$37:B$49,0)</f>
        <v>2</v>
      </c>
      <c r="C54" s="74">
        <f t="shared" si="34"/>
        <v>5</v>
      </c>
      <c r="D54" s="74">
        <f t="shared" si="34"/>
        <v>2</v>
      </c>
      <c r="E54" s="74">
        <f t="shared" si="34"/>
        <v>2</v>
      </c>
      <c r="F54" s="74">
        <f t="shared" si="34"/>
        <v>2</v>
      </c>
      <c r="G54" s="74">
        <f t="shared" si="34"/>
        <v>2</v>
      </c>
      <c r="H54" s="74">
        <f t="shared" si="34"/>
        <v>2</v>
      </c>
      <c r="I54" s="74">
        <f t="shared" si="34"/>
        <v>2</v>
      </c>
      <c r="J54" s="74">
        <f t="shared" si="34"/>
        <v>2</v>
      </c>
      <c r="K54" s="74">
        <f t="shared" si="34"/>
        <v>3</v>
      </c>
      <c r="L54" s="74">
        <f t="shared" si="34"/>
        <v>3</v>
      </c>
      <c r="M54" s="74">
        <f t="shared" si="34"/>
        <v>3</v>
      </c>
      <c r="N54" s="74">
        <f t="shared" si="34"/>
        <v>3</v>
      </c>
      <c r="O54" s="74">
        <f t="shared" si="34"/>
        <v>3</v>
      </c>
      <c r="P54" s="74">
        <f t="shared" si="34"/>
        <v>3</v>
      </c>
      <c r="Q54" s="74">
        <f t="shared" si="34"/>
        <v>3</v>
      </c>
      <c r="R54" s="74">
        <f t="shared" si="34"/>
        <v>3</v>
      </c>
      <c r="S54" s="74">
        <f t="shared" si="34"/>
        <v>3</v>
      </c>
      <c r="T54" s="74">
        <f t="shared" si="34"/>
        <v>3</v>
      </c>
      <c r="U54" s="74">
        <f t="shared" si="34"/>
        <v>3</v>
      </c>
      <c r="V54" s="74">
        <f t="shared" si="34"/>
        <v>3</v>
      </c>
      <c r="W54" s="75">
        <f t="shared" si="34"/>
        <v>4</v>
      </c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 x14ac:dyDescent="0.25">
      <c r="A55" s="12" t="s">
        <v>11</v>
      </c>
      <c r="B55" s="74">
        <f t="shared" ref="B55:W55" si="35">RANK(B40,B$37:B$49,0)</f>
        <v>7</v>
      </c>
      <c r="C55" s="74">
        <f t="shared" si="35"/>
        <v>7</v>
      </c>
      <c r="D55" s="74">
        <f t="shared" si="35"/>
        <v>10</v>
      </c>
      <c r="E55" s="74">
        <f t="shared" si="35"/>
        <v>10</v>
      </c>
      <c r="F55" s="74">
        <f t="shared" si="35"/>
        <v>11</v>
      </c>
      <c r="G55" s="74">
        <f t="shared" si="35"/>
        <v>12</v>
      </c>
      <c r="H55" s="74">
        <f t="shared" si="35"/>
        <v>13</v>
      </c>
      <c r="I55" s="74">
        <f t="shared" si="35"/>
        <v>12</v>
      </c>
      <c r="J55" s="74">
        <f t="shared" si="35"/>
        <v>12</v>
      </c>
      <c r="K55" s="74">
        <f t="shared" si="35"/>
        <v>10</v>
      </c>
      <c r="L55" s="74">
        <f t="shared" si="35"/>
        <v>11</v>
      </c>
      <c r="M55" s="74">
        <f t="shared" si="35"/>
        <v>12</v>
      </c>
      <c r="N55" s="74">
        <f t="shared" si="35"/>
        <v>12</v>
      </c>
      <c r="O55" s="74">
        <f t="shared" si="35"/>
        <v>13</v>
      </c>
      <c r="P55" s="74">
        <f t="shared" si="35"/>
        <v>11</v>
      </c>
      <c r="Q55" s="74">
        <f t="shared" si="35"/>
        <v>13</v>
      </c>
      <c r="R55" s="74">
        <f t="shared" si="35"/>
        <v>13</v>
      </c>
      <c r="S55" s="74">
        <f t="shared" si="35"/>
        <v>13</v>
      </c>
      <c r="T55" s="74">
        <f t="shared" si="35"/>
        <v>13</v>
      </c>
      <c r="U55" s="74">
        <f t="shared" si="35"/>
        <v>13</v>
      </c>
      <c r="V55" s="74">
        <f t="shared" si="35"/>
        <v>13</v>
      </c>
      <c r="W55" s="75">
        <f t="shared" si="35"/>
        <v>11</v>
      </c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x14ac:dyDescent="0.25">
      <c r="A56" s="12" t="s">
        <v>37</v>
      </c>
      <c r="B56" s="74">
        <f t="shared" ref="B56:W56" si="36">RANK(B41,B$37:B$49,0)</f>
        <v>12</v>
      </c>
      <c r="C56" s="74">
        <f t="shared" si="36"/>
        <v>12</v>
      </c>
      <c r="D56" s="74">
        <f t="shared" si="36"/>
        <v>13</v>
      </c>
      <c r="E56" s="74">
        <f t="shared" si="36"/>
        <v>13</v>
      </c>
      <c r="F56" s="74">
        <f t="shared" si="36"/>
        <v>13</v>
      </c>
      <c r="G56" s="74">
        <f t="shared" si="36"/>
        <v>13</v>
      </c>
      <c r="H56" s="74">
        <f t="shared" si="36"/>
        <v>12</v>
      </c>
      <c r="I56" s="74">
        <f t="shared" si="36"/>
        <v>13</v>
      </c>
      <c r="J56" s="74">
        <f t="shared" si="36"/>
        <v>13</v>
      </c>
      <c r="K56" s="74">
        <f t="shared" si="36"/>
        <v>12</v>
      </c>
      <c r="L56" s="74">
        <f t="shared" si="36"/>
        <v>13</v>
      </c>
      <c r="M56" s="74">
        <f t="shared" si="36"/>
        <v>13</v>
      </c>
      <c r="N56" s="74">
        <f t="shared" si="36"/>
        <v>13</v>
      </c>
      <c r="O56" s="74">
        <f t="shared" si="36"/>
        <v>12</v>
      </c>
      <c r="P56" s="74">
        <f t="shared" si="36"/>
        <v>13</v>
      </c>
      <c r="Q56" s="74">
        <f t="shared" si="36"/>
        <v>12</v>
      </c>
      <c r="R56" s="74">
        <f t="shared" si="36"/>
        <v>12</v>
      </c>
      <c r="S56" s="74">
        <f t="shared" si="36"/>
        <v>12</v>
      </c>
      <c r="T56" s="74">
        <f t="shared" si="36"/>
        <v>11</v>
      </c>
      <c r="U56" s="74">
        <f t="shared" si="36"/>
        <v>11</v>
      </c>
      <c r="V56" s="74">
        <f t="shared" si="36"/>
        <v>10</v>
      </c>
      <c r="W56" s="75">
        <f t="shared" si="36"/>
        <v>10</v>
      </c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 x14ac:dyDescent="0.25">
      <c r="A57" s="12" t="s">
        <v>17</v>
      </c>
      <c r="B57" s="74">
        <f t="shared" ref="B57:W57" si="37">RANK(B42,B$37:B$49,0)</f>
        <v>11</v>
      </c>
      <c r="C57" s="74">
        <f t="shared" si="37"/>
        <v>13</v>
      </c>
      <c r="D57" s="74">
        <f t="shared" si="37"/>
        <v>12</v>
      </c>
      <c r="E57" s="74">
        <f t="shared" si="37"/>
        <v>11</v>
      </c>
      <c r="F57" s="74">
        <f t="shared" si="37"/>
        <v>10</v>
      </c>
      <c r="G57" s="74">
        <f t="shared" si="37"/>
        <v>11</v>
      </c>
      <c r="H57" s="74">
        <f t="shared" si="37"/>
        <v>10</v>
      </c>
      <c r="I57" s="74">
        <f t="shared" si="37"/>
        <v>9</v>
      </c>
      <c r="J57" s="74">
        <f t="shared" si="37"/>
        <v>9</v>
      </c>
      <c r="K57" s="74">
        <f t="shared" si="37"/>
        <v>11</v>
      </c>
      <c r="L57" s="74">
        <f t="shared" si="37"/>
        <v>8</v>
      </c>
      <c r="M57" s="74">
        <f t="shared" si="37"/>
        <v>8</v>
      </c>
      <c r="N57" s="74">
        <f t="shared" si="37"/>
        <v>8</v>
      </c>
      <c r="O57" s="74">
        <f t="shared" si="37"/>
        <v>8</v>
      </c>
      <c r="P57" s="74">
        <f t="shared" si="37"/>
        <v>7</v>
      </c>
      <c r="Q57" s="74">
        <f t="shared" si="37"/>
        <v>4</v>
      </c>
      <c r="R57" s="74">
        <f t="shared" si="37"/>
        <v>4</v>
      </c>
      <c r="S57" s="74">
        <f t="shared" si="37"/>
        <v>4</v>
      </c>
      <c r="T57" s="74">
        <f t="shared" si="37"/>
        <v>4</v>
      </c>
      <c r="U57" s="74">
        <f t="shared" si="37"/>
        <v>4</v>
      </c>
      <c r="V57" s="74">
        <f t="shared" si="37"/>
        <v>4</v>
      </c>
      <c r="W57" s="75">
        <f t="shared" si="37"/>
        <v>3</v>
      </c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 x14ac:dyDescent="0.25">
      <c r="A58" s="12" t="s">
        <v>39</v>
      </c>
      <c r="B58" s="74">
        <f t="shared" ref="B58:W58" si="38">RANK(B43,B$37:B$49,0)</f>
        <v>2</v>
      </c>
      <c r="C58" s="74">
        <f t="shared" si="38"/>
        <v>6</v>
      </c>
      <c r="D58" s="74">
        <f t="shared" si="38"/>
        <v>5</v>
      </c>
      <c r="E58" s="74">
        <f t="shared" si="38"/>
        <v>4</v>
      </c>
      <c r="F58" s="74">
        <f t="shared" si="38"/>
        <v>4</v>
      </c>
      <c r="G58" s="74">
        <f t="shared" si="38"/>
        <v>4</v>
      </c>
      <c r="H58" s="74">
        <f t="shared" si="38"/>
        <v>4</v>
      </c>
      <c r="I58" s="74">
        <f t="shared" si="38"/>
        <v>3</v>
      </c>
      <c r="J58" s="74">
        <f t="shared" si="38"/>
        <v>3</v>
      </c>
      <c r="K58" s="74">
        <f t="shared" si="38"/>
        <v>2</v>
      </c>
      <c r="L58" s="74">
        <f t="shared" si="38"/>
        <v>2</v>
      </c>
      <c r="M58" s="74">
        <f t="shared" si="38"/>
        <v>2</v>
      </c>
      <c r="N58" s="74">
        <f t="shared" si="38"/>
        <v>2</v>
      </c>
      <c r="O58" s="74">
        <f t="shared" si="38"/>
        <v>2</v>
      </c>
      <c r="P58" s="74">
        <f t="shared" si="38"/>
        <v>2</v>
      </c>
      <c r="Q58" s="74">
        <f t="shared" si="38"/>
        <v>2</v>
      </c>
      <c r="R58" s="74">
        <f t="shared" si="38"/>
        <v>2</v>
      </c>
      <c r="S58" s="74">
        <f t="shared" si="38"/>
        <v>2</v>
      </c>
      <c r="T58" s="74">
        <f t="shared" si="38"/>
        <v>2</v>
      </c>
      <c r="U58" s="74">
        <f t="shared" si="38"/>
        <v>2</v>
      </c>
      <c r="V58" s="74">
        <f t="shared" si="38"/>
        <v>2</v>
      </c>
      <c r="W58" s="75">
        <f t="shared" si="38"/>
        <v>2</v>
      </c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 x14ac:dyDescent="0.25">
      <c r="A59" s="12" t="s">
        <v>56</v>
      </c>
      <c r="B59" s="74">
        <f t="shared" ref="B59:W59" si="39">RANK(B44,B$37:B$49,0)</f>
        <v>8</v>
      </c>
      <c r="C59" s="74">
        <f t="shared" si="39"/>
        <v>10</v>
      </c>
      <c r="D59" s="74">
        <f t="shared" si="39"/>
        <v>11</v>
      </c>
      <c r="E59" s="74">
        <f t="shared" si="39"/>
        <v>12</v>
      </c>
      <c r="F59" s="74">
        <f t="shared" si="39"/>
        <v>12</v>
      </c>
      <c r="G59" s="74">
        <f t="shared" si="39"/>
        <v>10</v>
      </c>
      <c r="H59" s="74">
        <f t="shared" si="39"/>
        <v>11</v>
      </c>
      <c r="I59" s="74">
        <f t="shared" si="39"/>
        <v>10</v>
      </c>
      <c r="J59" s="74">
        <f t="shared" si="39"/>
        <v>11</v>
      </c>
      <c r="K59" s="74">
        <f t="shared" si="39"/>
        <v>13</v>
      </c>
      <c r="L59" s="74">
        <f t="shared" si="39"/>
        <v>12</v>
      </c>
      <c r="M59" s="74">
        <f t="shared" si="39"/>
        <v>11</v>
      </c>
      <c r="N59" s="74">
        <f t="shared" si="39"/>
        <v>10</v>
      </c>
      <c r="O59" s="74">
        <f t="shared" si="39"/>
        <v>10</v>
      </c>
      <c r="P59" s="74">
        <f t="shared" si="39"/>
        <v>12</v>
      </c>
      <c r="Q59" s="74">
        <f t="shared" si="39"/>
        <v>11</v>
      </c>
      <c r="R59" s="74">
        <f t="shared" si="39"/>
        <v>10</v>
      </c>
      <c r="S59" s="74">
        <f t="shared" si="39"/>
        <v>10</v>
      </c>
      <c r="T59" s="74">
        <f t="shared" si="39"/>
        <v>10</v>
      </c>
      <c r="U59" s="74">
        <f t="shared" si="39"/>
        <v>10</v>
      </c>
      <c r="V59" s="74">
        <f t="shared" si="39"/>
        <v>11</v>
      </c>
      <c r="W59" s="75">
        <f t="shared" si="39"/>
        <v>13</v>
      </c>
    </row>
    <row r="60" spans="1:35" x14ac:dyDescent="0.25">
      <c r="A60" s="12" t="s">
        <v>5</v>
      </c>
      <c r="B60" s="74">
        <f t="shared" ref="B60:W60" si="40">RANK(B45,B$37:B$49,0)</f>
        <v>4</v>
      </c>
      <c r="C60" s="74">
        <f t="shared" si="40"/>
        <v>2</v>
      </c>
      <c r="D60" s="74">
        <f t="shared" si="40"/>
        <v>4</v>
      </c>
      <c r="E60" s="74">
        <f t="shared" si="40"/>
        <v>6</v>
      </c>
      <c r="F60" s="74">
        <f t="shared" si="40"/>
        <v>7</v>
      </c>
      <c r="G60" s="74">
        <f t="shared" si="40"/>
        <v>7</v>
      </c>
      <c r="H60" s="74">
        <f t="shared" si="40"/>
        <v>7</v>
      </c>
      <c r="I60" s="74">
        <f t="shared" si="40"/>
        <v>6</v>
      </c>
      <c r="J60" s="74">
        <f t="shared" si="40"/>
        <v>6</v>
      </c>
      <c r="K60" s="74">
        <f t="shared" si="40"/>
        <v>9</v>
      </c>
      <c r="L60" s="74">
        <f t="shared" si="40"/>
        <v>9</v>
      </c>
      <c r="M60" s="74">
        <f t="shared" si="40"/>
        <v>9</v>
      </c>
      <c r="N60" s="74">
        <f t="shared" si="40"/>
        <v>9</v>
      </c>
      <c r="O60" s="74">
        <f t="shared" si="40"/>
        <v>9</v>
      </c>
      <c r="P60" s="74">
        <f t="shared" si="40"/>
        <v>9</v>
      </c>
      <c r="Q60" s="74">
        <f t="shared" si="40"/>
        <v>9</v>
      </c>
      <c r="R60" s="74">
        <f t="shared" si="40"/>
        <v>9</v>
      </c>
      <c r="S60" s="74">
        <f t="shared" si="40"/>
        <v>9</v>
      </c>
      <c r="T60" s="74">
        <f t="shared" si="40"/>
        <v>9</v>
      </c>
      <c r="U60" s="74">
        <f t="shared" si="40"/>
        <v>9</v>
      </c>
      <c r="V60" s="74">
        <f t="shared" si="40"/>
        <v>9</v>
      </c>
      <c r="W60" s="75">
        <f t="shared" si="40"/>
        <v>9</v>
      </c>
    </row>
    <row r="61" spans="1:35" x14ac:dyDescent="0.25">
      <c r="A61" s="12" t="s">
        <v>15</v>
      </c>
      <c r="B61" s="74">
        <f t="shared" ref="B61:W61" si="41">RANK(B46,B$37:B$49,0)</f>
        <v>13</v>
      </c>
      <c r="C61" s="74">
        <f t="shared" si="41"/>
        <v>11</v>
      </c>
      <c r="D61" s="74">
        <f t="shared" si="41"/>
        <v>9</v>
      </c>
      <c r="E61" s="74">
        <f t="shared" si="41"/>
        <v>8</v>
      </c>
      <c r="F61" s="74">
        <f t="shared" si="41"/>
        <v>8</v>
      </c>
      <c r="G61" s="74">
        <f t="shared" si="41"/>
        <v>8</v>
      </c>
      <c r="H61" s="74">
        <f t="shared" si="41"/>
        <v>8</v>
      </c>
      <c r="I61" s="74">
        <f t="shared" si="41"/>
        <v>11</v>
      </c>
      <c r="J61" s="74">
        <f t="shared" si="41"/>
        <v>10</v>
      </c>
      <c r="K61" s="74">
        <f t="shared" si="41"/>
        <v>7</v>
      </c>
      <c r="L61" s="74">
        <f t="shared" si="41"/>
        <v>7</v>
      </c>
      <c r="M61" s="74">
        <f t="shared" si="41"/>
        <v>7</v>
      </c>
      <c r="N61" s="74">
        <f t="shared" si="41"/>
        <v>7</v>
      </c>
      <c r="O61" s="74">
        <f t="shared" si="41"/>
        <v>7</v>
      </c>
      <c r="P61" s="74">
        <f t="shared" si="41"/>
        <v>8</v>
      </c>
      <c r="Q61" s="74">
        <f t="shared" si="41"/>
        <v>8</v>
      </c>
      <c r="R61" s="74">
        <f t="shared" si="41"/>
        <v>8</v>
      </c>
      <c r="S61" s="74">
        <f t="shared" si="41"/>
        <v>8</v>
      </c>
      <c r="T61" s="74">
        <f t="shared" si="41"/>
        <v>8</v>
      </c>
      <c r="U61" s="74">
        <f t="shared" si="41"/>
        <v>8</v>
      </c>
      <c r="V61" s="74">
        <f t="shared" si="41"/>
        <v>8</v>
      </c>
      <c r="W61" s="75">
        <f t="shared" si="41"/>
        <v>8</v>
      </c>
    </row>
    <row r="62" spans="1:35" x14ac:dyDescent="0.25">
      <c r="A62" s="12" t="s">
        <v>57</v>
      </c>
      <c r="B62" s="74">
        <f t="shared" ref="B62:W62" si="42">RANK(B47,B$37:B$49,0)</f>
        <v>6</v>
      </c>
      <c r="C62" s="74">
        <f t="shared" si="42"/>
        <v>3</v>
      </c>
      <c r="D62" s="74">
        <f t="shared" si="42"/>
        <v>6</v>
      </c>
      <c r="E62" s="74">
        <f t="shared" si="42"/>
        <v>9</v>
      </c>
      <c r="F62" s="74">
        <f t="shared" si="42"/>
        <v>9</v>
      </c>
      <c r="G62" s="74">
        <f t="shared" si="42"/>
        <v>9</v>
      </c>
      <c r="H62" s="74">
        <f t="shared" si="42"/>
        <v>9</v>
      </c>
      <c r="I62" s="74">
        <f t="shared" si="42"/>
        <v>8</v>
      </c>
      <c r="J62" s="74">
        <f t="shared" si="42"/>
        <v>7</v>
      </c>
      <c r="K62" s="74">
        <f t="shared" si="42"/>
        <v>8</v>
      </c>
      <c r="L62" s="74">
        <f t="shared" si="42"/>
        <v>10</v>
      </c>
      <c r="M62" s="74">
        <f t="shared" si="42"/>
        <v>10</v>
      </c>
      <c r="N62" s="74">
        <f t="shared" si="42"/>
        <v>11</v>
      </c>
      <c r="O62" s="74">
        <f t="shared" si="42"/>
        <v>11</v>
      </c>
      <c r="P62" s="74">
        <f t="shared" si="42"/>
        <v>10</v>
      </c>
      <c r="Q62" s="74">
        <f t="shared" si="42"/>
        <v>10</v>
      </c>
      <c r="R62" s="74">
        <f t="shared" si="42"/>
        <v>11</v>
      </c>
      <c r="S62" s="74">
        <f t="shared" si="42"/>
        <v>11</v>
      </c>
      <c r="T62" s="74">
        <f t="shared" si="42"/>
        <v>12</v>
      </c>
      <c r="U62" s="74">
        <f t="shared" si="42"/>
        <v>12</v>
      </c>
      <c r="V62" s="74">
        <f t="shared" si="42"/>
        <v>12</v>
      </c>
      <c r="W62" s="75">
        <f t="shared" si="42"/>
        <v>12</v>
      </c>
    </row>
    <row r="63" spans="1:35" x14ac:dyDescent="0.25">
      <c r="A63" s="12" t="s">
        <v>40</v>
      </c>
      <c r="B63" s="74">
        <f t="shared" ref="B63:W63" si="43">RANK(B48,B$37:B$49,0)</f>
        <v>9</v>
      </c>
      <c r="C63" s="74">
        <f t="shared" si="43"/>
        <v>8</v>
      </c>
      <c r="D63" s="74">
        <f t="shared" si="43"/>
        <v>7</v>
      </c>
      <c r="E63" s="74">
        <f t="shared" si="43"/>
        <v>5</v>
      </c>
      <c r="F63" s="74">
        <f t="shared" si="43"/>
        <v>5</v>
      </c>
      <c r="G63" s="74">
        <f t="shared" si="43"/>
        <v>5</v>
      </c>
      <c r="H63" s="74">
        <f t="shared" si="43"/>
        <v>5</v>
      </c>
      <c r="I63" s="74">
        <f t="shared" si="43"/>
        <v>5</v>
      </c>
      <c r="J63" s="74">
        <f t="shared" si="43"/>
        <v>5</v>
      </c>
      <c r="K63" s="74">
        <f t="shared" si="43"/>
        <v>5</v>
      </c>
      <c r="L63" s="74">
        <f t="shared" si="43"/>
        <v>5</v>
      </c>
      <c r="M63" s="74">
        <f t="shared" si="43"/>
        <v>5</v>
      </c>
      <c r="N63" s="74">
        <f t="shared" si="43"/>
        <v>5</v>
      </c>
      <c r="O63" s="74">
        <f t="shared" si="43"/>
        <v>5</v>
      </c>
      <c r="P63" s="74">
        <f t="shared" si="43"/>
        <v>6</v>
      </c>
      <c r="Q63" s="74">
        <f t="shared" si="43"/>
        <v>7</v>
      </c>
      <c r="R63" s="74">
        <f t="shared" si="43"/>
        <v>7</v>
      </c>
      <c r="S63" s="74">
        <f t="shared" si="43"/>
        <v>7</v>
      </c>
      <c r="T63" s="74">
        <f t="shared" si="43"/>
        <v>7</v>
      </c>
      <c r="U63" s="74">
        <f t="shared" si="43"/>
        <v>6</v>
      </c>
      <c r="V63" s="74">
        <f t="shared" si="43"/>
        <v>6</v>
      </c>
      <c r="W63" s="75">
        <f t="shared" si="43"/>
        <v>6</v>
      </c>
    </row>
    <row r="64" spans="1:35" x14ac:dyDescent="0.25">
      <c r="A64" s="12" t="s">
        <v>58</v>
      </c>
      <c r="B64" s="74">
        <f t="shared" ref="B64:W64" si="44">RANK(B49,B$37:B$49,0)</f>
        <v>10</v>
      </c>
      <c r="C64" s="74">
        <f t="shared" si="44"/>
        <v>9</v>
      </c>
      <c r="D64" s="74">
        <f t="shared" si="44"/>
        <v>8</v>
      </c>
      <c r="E64" s="74">
        <f t="shared" si="44"/>
        <v>7</v>
      </c>
      <c r="F64" s="74">
        <f t="shared" si="44"/>
        <v>6</v>
      </c>
      <c r="G64" s="74">
        <f t="shared" si="44"/>
        <v>6</v>
      </c>
      <c r="H64" s="74">
        <f t="shared" si="44"/>
        <v>6</v>
      </c>
      <c r="I64" s="74">
        <f t="shared" si="44"/>
        <v>7</v>
      </c>
      <c r="J64" s="74">
        <f t="shared" si="44"/>
        <v>8</v>
      </c>
      <c r="K64" s="74">
        <f t="shared" si="44"/>
        <v>6</v>
      </c>
      <c r="L64" s="74">
        <f t="shared" si="44"/>
        <v>6</v>
      </c>
      <c r="M64" s="74">
        <f t="shared" si="44"/>
        <v>6</v>
      </c>
      <c r="N64" s="74">
        <f t="shared" si="44"/>
        <v>6</v>
      </c>
      <c r="O64" s="74">
        <f t="shared" si="44"/>
        <v>6</v>
      </c>
      <c r="P64" s="74">
        <f t="shared" si="44"/>
        <v>5</v>
      </c>
      <c r="Q64" s="74">
        <f t="shared" si="44"/>
        <v>5</v>
      </c>
      <c r="R64" s="74">
        <f t="shared" si="44"/>
        <v>6</v>
      </c>
      <c r="S64" s="74">
        <f t="shared" si="44"/>
        <v>5</v>
      </c>
      <c r="T64" s="74">
        <f t="shared" si="44"/>
        <v>5</v>
      </c>
      <c r="U64" s="74">
        <f t="shared" si="44"/>
        <v>5</v>
      </c>
      <c r="V64" s="74">
        <f t="shared" si="44"/>
        <v>5</v>
      </c>
      <c r="W64" s="75">
        <f t="shared" si="44"/>
        <v>5</v>
      </c>
    </row>
    <row r="66" spans="1:16" ht="15.75" thickBot="1" x14ac:dyDescent="0.3"/>
    <row r="67" spans="1:16" x14ac:dyDescent="0.25">
      <c r="B67" s="48"/>
      <c r="C67" s="56"/>
      <c r="D67" s="50"/>
      <c r="E67" s="48"/>
      <c r="F67" s="56"/>
      <c r="G67" s="50"/>
      <c r="H67" s="48"/>
      <c r="I67" s="56"/>
      <c r="J67" s="50"/>
      <c r="K67" s="48"/>
      <c r="L67" s="56"/>
      <c r="M67" s="50"/>
      <c r="N67" s="49"/>
      <c r="O67" s="49"/>
      <c r="P67" s="51"/>
    </row>
    <row r="68" spans="1:16" x14ac:dyDescent="0.25">
      <c r="B68" s="52"/>
      <c r="C68" s="57"/>
      <c r="D68" s="47"/>
      <c r="E68" s="52"/>
      <c r="F68" s="57"/>
      <c r="G68" s="47"/>
      <c r="H68" s="52"/>
      <c r="I68" s="57"/>
      <c r="J68" s="47"/>
      <c r="K68" s="52"/>
      <c r="L68" s="57"/>
      <c r="M68" s="47"/>
      <c r="N68" s="29"/>
      <c r="O68" s="29"/>
      <c r="P68" s="53"/>
    </row>
    <row r="69" spans="1:16" x14ac:dyDescent="0.25">
      <c r="B69" s="52"/>
      <c r="C69" s="57"/>
      <c r="D69" s="47"/>
      <c r="E69" s="52"/>
      <c r="F69" s="57"/>
      <c r="G69" s="47"/>
      <c r="H69" s="52"/>
      <c r="I69" s="57"/>
      <c r="J69" s="47"/>
      <c r="K69" s="52"/>
      <c r="L69" s="57"/>
      <c r="M69" s="47"/>
      <c r="N69" s="29"/>
      <c r="O69" s="29"/>
      <c r="P69" s="53"/>
    </row>
    <row r="70" spans="1:16" x14ac:dyDescent="0.25">
      <c r="B70" s="52"/>
      <c r="C70" s="57"/>
      <c r="D70" s="47"/>
      <c r="E70" s="52"/>
      <c r="F70" s="57"/>
      <c r="G70" s="47"/>
      <c r="H70" s="52"/>
      <c r="I70" s="57"/>
      <c r="J70" s="47"/>
      <c r="K70" s="52"/>
      <c r="L70" s="57"/>
      <c r="M70" s="47"/>
      <c r="N70" s="29"/>
      <c r="O70" s="29"/>
      <c r="P70" s="53"/>
    </row>
    <row r="71" spans="1:16" x14ac:dyDescent="0.25">
      <c r="B71" s="52"/>
      <c r="C71" s="57"/>
      <c r="D71" s="47"/>
      <c r="E71" s="52"/>
      <c r="F71" s="57"/>
      <c r="G71" s="47"/>
      <c r="H71" s="52"/>
      <c r="I71" s="57"/>
      <c r="J71" s="47"/>
      <c r="K71" s="52"/>
      <c r="L71" s="57"/>
      <c r="M71" s="47"/>
      <c r="N71" s="29"/>
      <c r="O71" s="29"/>
      <c r="P71" s="53"/>
    </row>
    <row r="72" spans="1:16" x14ac:dyDescent="0.25">
      <c r="B72" s="52"/>
      <c r="C72" s="57"/>
      <c r="D72" s="47"/>
      <c r="E72" s="52"/>
      <c r="F72" s="57"/>
      <c r="G72" s="47"/>
      <c r="H72" s="52"/>
      <c r="I72" s="57"/>
      <c r="J72" s="47"/>
      <c r="K72" s="52"/>
      <c r="L72" s="57"/>
      <c r="M72" s="47"/>
      <c r="N72" s="29"/>
      <c r="O72" s="29"/>
      <c r="P72" s="53"/>
    </row>
    <row r="73" spans="1:16" x14ac:dyDescent="0.25">
      <c r="B73" s="52"/>
      <c r="C73" s="57"/>
      <c r="D73" s="47"/>
      <c r="E73" s="52"/>
      <c r="F73" s="57"/>
      <c r="G73" s="47"/>
      <c r="H73" s="52"/>
      <c r="I73" s="57"/>
      <c r="J73" s="47"/>
      <c r="K73" s="52"/>
      <c r="L73" s="57"/>
      <c r="M73" s="47"/>
      <c r="N73" s="29"/>
      <c r="O73" s="29"/>
      <c r="P73" s="53"/>
    </row>
    <row r="74" spans="1:16" x14ac:dyDescent="0.25">
      <c r="B74" s="52"/>
      <c r="C74" s="57"/>
      <c r="D74" s="47"/>
      <c r="E74" s="52"/>
      <c r="F74" s="57"/>
      <c r="G74" s="47"/>
      <c r="H74" s="52"/>
      <c r="I74" s="57"/>
      <c r="J74" s="47"/>
      <c r="K74" s="52"/>
      <c r="L74" s="57"/>
      <c r="M74" s="47"/>
      <c r="N74" s="29"/>
      <c r="O74" s="29"/>
      <c r="P74" s="53"/>
    </row>
    <row r="75" spans="1:16" ht="23.25" x14ac:dyDescent="0.25">
      <c r="B75" s="82" t="str">
        <f>VLOOKUP(MAX(B77:C89),B77:D89,3,FALSE)</f>
        <v>Pierre</v>
      </c>
      <c r="C75" s="83"/>
      <c r="D75" s="60"/>
      <c r="E75" s="82" t="str">
        <f>VLOOKUP(MAX(E77:F89),E77:G89,3,FALSE)</f>
        <v>Pierre</v>
      </c>
      <c r="F75" s="83"/>
      <c r="G75" s="60"/>
      <c r="H75" s="82" t="str">
        <f>VLOOKUP(MAX(H77:I89),H77:J89,3,FALSE)</f>
        <v>Quentin Moine</v>
      </c>
      <c r="I75" s="83"/>
      <c r="J75" s="60"/>
      <c r="K75" s="82" t="str">
        <f>VLOOKUP(MAX(K77:L89),K77:M89,3,FALSE)</f>
        <v>David</v>
      </c>
      <c r="L75" s="83"/>
      <c r="M75" s="60"/>
      <c r="N75" s="84" t="str">
        <f>X18</f>
        <v>Pierre</v>
      </c>
      <c r="O75" s="84"/>
      <c r="P75" s="53"/>
    </row>
    <row r="76" spans="1:16" ht="23.25" x14ac:dyDescent="0.25">
      <c r="B76" s="82"/>
      <c r="C76" s="83"/>
      <c r="D76" s="60"/>
      <c r="E76" s="82"/>
      <c r="F76" s="83"/>
      <c r="G76" s="60"/>
      <c r="H76" s="82"/>
      <c r="I76" s="83"/>
      <c r="J76" s="60"/>
      <c r="K76" s="82"/>
      <c r="L76" s="83"/>
      <c r="M76" s="60"/>
      <c r="N76" s="84"/>
      <c r="O76" s="84"/>
      <c r="P76" s="53"/>
    </row>
    <row r="77" spans="1:16" x14ac:dyDescent="0.25">
      <c r="A77" s="12" t="s">
        <v>35</v>
      </c>
      <c r="B77" s="76">
        <f t="shared" ref="B77:B89" si="45">W37</f>
        <v>11350</v>
      </c>
      <c r="C77" s="77"/>
      <c r="D77" s="58" t="s">
        <v>35</v>
      </c>
      <c r="E77" s="76">
        <f t="shared" ref="E77:E89" si="46">D21+E21+J21+L21+N21+S21+V21</f>
        <v>3235</v>
      </c>
      <c r="F77" s="77"/>
      <c r="G77" s="58" t="s">
        <v>35</v>
      </c>
      <c r="H77" s="76">
        <f t="shared" ref="H77:H89" si="47">C21+I21+K21+P21+Q21+R21+U21</f>
        <v>3615</v>
      </c>
      <c r="I77" s="77"/>
      <c r="J77" s="58" t="s">
        <v>35</v>
      </c>
      <c r="K77" s="80"/>
      <c r="L77" s="81"/>
      <c r="M77" s="54" t="s">
        <v>35</v>
      </c>
      <c r="N77" s="78">
        <f t="shared" ref="N77:N89" si="48">X4</f>
        <v>10</v>
      </c>
      <c r="O77" s="79"/>
      <c r="P77" s="45" t="s">
        <v>35</v>
      </c>
    </row>
    <row r="78" spans="1:16" x14ac:dyDescent="0.25">
      <c r="A78" s="12" t="s">
        <v>55</v>
      </c>
      <c r="B78" s="76">
        <f t="shared" si="45"/>
        <v>8671</v>
      </c>
      <c r="C78" s="77"/>
      <c r="D78" s="58" t="s">
        <v>55</v>
      </c>
      <c r="E78" s="76">
        <f t="shared" si="46"/>
        <v>2598</v>
      </c>
      <c r="F78" s="77"/>
      <c r="G78" s="58" t="s">
        <v>55</v>
      </c>
      <c r="H78" s="76">
        <f t="shared" si="47"/>
        <v>3069</v>
      </c>
      <c r="I78" s="77"/>
      <c r="J78" s="58" t="s">
        <v>55</v>
      </c>
      <c r="K78" s="76">
        <f t="shared" ref="K78" si="49">W38</f>
        <v>8671</v>
      </c>
      <c r="L78" s="77"/>
      <c r="M78" s="54" t="s">
        <v>55</v>
      </c>
      <c r="N78" s="78">
        <f t="shared" si="48"/>
        <v>0</v>
      </c>
      <c r="O78" s="79"/>
      <c r="P78" s="45" t="s">
        <v>55</v>
      </c>
    </row>
    <row r="79" spans="1:16" x14ac:dyDescent="0.25">
      <c r="A79" s="12" t="s">
        <v>16</v>
      </c>
      <c r="B79" s="76">
        <f t="shared" si="45"/>
        <v>9985</v>
      </c>
      <c r="C79" s="77"/>
      <c r="D79" s="58" t="s">
        <v>16</v>
      </c>
      <c r="E79" s="76">
        <f t="shared" si="46"/>
        <v>2537</v>
      </c>
      <c r="F79" s="77"/>
      <c r="G79" s="58" t="s">
        <v>16</v>
      </c>
      <c r="H79" s="76">
        <f t="shared" si="47"/>
        <v>3583</v>
      </c>
      <c r="I79" s="77"/>
      <c r="J79" s="58" t="s">
        <v>16</v>
      </c>
      <c r="K79" s="80"/>
      <c r="L79" s="81"/>
      <c r="M79" s="54" t="s">
        <v>16</v>
      </c>
      <c r="N79" s="78">
        <f t="shared" si="48"/>
        <v>2</v>
      </c>
      <c r="O79" s="79"/>
      <c r="P79" s="45" t="s">
        <v>16</v>
      </c>
    </row>
    <row r="80" spans="1:16" x14ac:dyDescent="0.25">
      <c r="A80" s="12" t="s">
        <v>11</v>
      </c>
      <c r="B80" s="76">
        <f t="shared" si="45"/>
        <v>7843</v>
      </c>
      <c r="C80" s="77"/>
      <c r="D80" s="58" t="s">
        <v>11</v>
      </c>
      <c r="E80" s="76">
        <f t="shared" si="46"/>
        <v>1284</v>
      </c>
      <c r="F80" s="77"/>
      <c r="G80" s="58" t="s">
        <v>11</v>
      </c>
      <c r="H80" s="76">
        <f t="shared" si="47"/>
        <v>3367</v>
      </c>
      <c r="I80" s="77"/>
      <c r="J80" s="58" t="s">
        <v>11</v>
      </c>
      <c r="K80" s="80"/>
      <c r="L80" s="81"/>
      <c r="M80" s="54" t="s">
        <v>11</v>
      </c>
      <c r="N80" s="78">
        <f t="shared" si="48"/>
        <v>0</v>
      </c>
      <c r="O80" s="79"/>
      <c r="P80" s="45" t="s">
        <v>11</v>
      </c>
    </row>
    <row r="81" spans="1:16" x14ac:dyDescent="0.25">
      <c r="A81" s="12" t="s">
        <v>37</v>
      </c>
      <c r="B81" s="76">
        <f t="shared" si="45"/>
        <v>7860</v>
      </c>
      <c r="C81" s="77"/>
      <c r="D81" s="58" t="s">
        <v>37</v>
      </c>
      <c r="E81" s="76">
        <f t="shared" si="46"/>
        <v>1383</v>
      </c>
      <c r="F81" s="77"/>
      <c r="G81" s="58" t="s">
        <v>37</v>
      </c>
      <c r="H81" s="76">
        <f t="shared" si="47"/>
        <v>2979</v>
      </c>
      <c r="I81" s="77"/>
      <c r="J81" s="58" t="s">
        <v>37</v>
      </c>
      <c r="K81" s="80"/>
      <c r="L81" s="81"/>
      <c r="M81" s="54" t="s">
        <v>37</v>
      </c>
      <c r="N81" s="78">
        <f t="shared" si="48"/>
        <v>1</v>
      </c>
      <c r="O81" s="79"/>
      <c r="P81" s="45" t="s">
        <v>37</v>
      </c>
    </row>
    <row r="82" spans="1:16" x14ac:dyDescent="0.25">
      <c r="A82" s="12" t="s">
        <v>17</v>
      </c>
      <c r="B82" s="76">
        <f t="shared" si="45"/>
        <v>9986</v>
      </c>
      <c r="C82" s="77"/>
      <c r="D82" s="58" t="s">
        <v>17</v>
      </c>
      <c r="E82" s="76">
        <f t="shared" si="46"/>
        <v>2562</v>
      </c>
      <c r="F82" s="77"/>
      <c r="G82" s="58" t="s">
        <v>17</v>
      </c>
      <c r="H82" s="76">
        <f t="shared" si="47"/>
        <v>3663</v>
      </c>
      <c r="I82" s="77"/>
      <c r="J82" s="58" t="s">
        <v>17</v>
      </c>
      <c r="K82" s="76">
        <f>W42</f>
        <v>9986</v>
      </c>
      <c r="L82" s="77"/>
      <c r="M82" s="54" t="s">
        <v>17</v>
      </c>
      <c r="N82" s="78">
        <f t="shared" si="48"/>
        <v>3</v>
      </c>
      <c r="O82" s="79"/>
      <c r="P82" s="45" t="s">
        <v>17</v>
      </c>
    </row>
    <row r="83" spans="1:16" x14ac:dyDescent="0.25">
      <c r="A83" s="12" t="s">
        <v>39</v>
      </c>
      <c r="B83" s="76">
        <f t="shared" si="45"/>
        <v>10337</v>
      </c>
      <c r="C83" s="77"/>
      <c r="D83" s="58" t="s">
        <v>39</v>
      </c>
      <c r="E83" s="76">
        <f t="shared" si="46"/>
        <v>2689</v>
      </c>
      <c r="F83" s="77"/>
      <c r="G83" s="58" t="s">
        <v>39</v>
      </c>
      <c r="H83" s="76">
        <f t="shared" si="47"/>
        <v>3734</v>
      </c>
      <c r="I83" s="77"/>
      <c r="J83" s="58" t="s">
        <v>39</v>
      </c>
      <c r="K83" s="80"/>
      <c r="L83" s="81"/>
      <c r="M83" s="54" t="s">
        <v>39</v>
      </c>
      <c r="N83" s="78">
        <f t="shared" si="48"/>
        <v>1</v>
      </c>
      <c r="O83" s="79"/>
      <c r="P83" s="45" t="s">
        <v>39</v>
      </c>
    </row>
    <row r="84" spans="1:16" x14ac:dyDescent="0.25">
      <c r="A84" s="12" t="s">
        <v>56</v>
      </c>
      <c r="B84" s="76">
        <f t="shared" si="45"/>
        <v>7737</v>
      </c>
      <c r="C84" s="77"/>
      <c r="D84" s="58" t="s">
        <v>56</v>
      </c>
      <c r="E84" s="76">
        <f t="shared" si="46"/>
        <v>1298</v>
      </c>
      <c r="F84" s="77"/>
      <c r="G84" s="58" t="s">
        <v>56</v>
      </c>
      <c r="H84" s="76">
        <f t="shared" si="47"/>
        <v>3009</v>
      </c>
      <c r="I84" s="77"/>
      <c r="J84" s="58" t="s">
        <v>56</v>
      </c>
      <c r="K84" s="76">
        <f t="shared" ref="K84:K89" si="50">W44</f>
        <v>7737</v>
      </c>
      <c r="L84" s="77"/>
      <c r="M84" s="54" t="s">
        <v>56</v>
      </c>
      <c r="N84" s="78">
        <f t="shared" si="48"/>
        <v>2</v>
      </c>
      <c r="O84" s="79"/>
      <c r="P84" s="45" t="s">
        <v>56</v>
      </c>
    </row>
    <row r="85" spans="1:16" x14ac:dyDescent="0.25">
      <c r="A85" s="12" t="s">
        <v>5</v>
      </c>
      <c r="B85" s="76">
        <f t="shared" si="45"/>
        <v>8476</v>
      </c>
      <c r="C85" s="77"/>
      <c r="D85" s="58" t="s">
        <v>5</v>
      </c>
      <c r="E85" s="76">
        <f t="shared" si="46"/>
        <v>1575</v>
      </c>
      <c r="F85" s="77"/>
      <c r="G85" s="58" t="s">
        <v>5</v>
      </c>
      <c r="H85" s="76">
        <f t="shared" si="47"/>
        <v>3573</v>
      </c>
      <c r="I85" s="77"/>
      <c r="J85" s="58" t="s">
        <v>5</v>
      </c>
      <c r="K85" s="80"/>
      <c r="L85" s="81"/>
      <c r="M85" s="54" t="s">
        <v>5</v>
      </c>
      <c r="N85" s="78">
        <f t="shared" si="48"/>
        <v>1</v>
      </c>
      <c r="O85" s="79"/>
      <c r="P85" s="45" t="s">
        <v>5</v>
      </c>
    </row>
    <row r="86" spans="1:16" x14ac:dyDescent="0.25">
      <c r="A86" s="12" t="s">
        <v>15</v>
      </c>
      <c r="B86" s="76">
        <f t="shared" si="45"/>
        <v>8638</v>
      </c>
      <c r="C86" s="77"/>
      <c r="D86" s="58" t="s">
        <v>15</v>
      </c>
      <c r="E86" s="76">
        <f t="shared" si="46"/>
        <v>2457</v>
      </c>
      <c r="F86" s="77"/>
      <c r="G86" s="58" t="s">
        <v>15</v>
      </c>
      <c r="H86" s="76">
        <f t="shared" si="47"/>
        <v>3383</v>
      </c>
      <c r="I86" s="77"/>
      <c r="J86" s="58" t="s">
        <v>15</v>
      </c>
      <c r="K86" s="80"/>
      <c r="L86" s="81"/>
      <c r="M86" s="54" t="s">
        <v>15</v>
      </c>
      <c r="N86" s="78">
        <f t="shared" si="48"/>
        <v>1</v>
      </c>
      <c r="O86" s="79"/>
      <c r="P86" s="45" t="s">
        <v>15</v>
      </c>
    </row>
    <row r="87" spans="1:16" x14ac:dyDescent="0.25">
      <c r="A87" s="12" t="s">
        <v>57</v>
      </c>
      <c r="B87" s="76">
        <f t="shared" si="45"/>
        <v>7823</v>
      </c>
      <c r="C87" s="77"/>
      <c r="D87" s="58" t="s">
        <v>57</v>
      </c>
      <c r="E87" s="76">
        <f t="shared" si="46"/>
        <v>1245</v>
      </c>
      <c r="F87" s="77"/>
      <c r="G87" s="58" t="s">
        <v>57</v>
      </c>
      <c r="H87" s="76">
        <f t="shared" si="47"/>
        <v>3541</v>
      </c>
      <c r="I87" s="77"/>
      <c r="J87" s="58" t="s">
        <v>57</v>
      </c>
      <c r="K87" s="80"/>
      <c r="L87" s="81"/>
      <c r="M87" s="54" t="s">
        <v>57</v>
      </c>
      <c r="N87" s="78">
        <f t="shared" si="48"/>
        <v>0</v>
      </c>
      <c r="O87" s="79"/>
      <c r="P87" s="45" t="s">
        <v>57</v>
      </c>
    </row>
    <row r="88" spans="1:16" x14ac:dyDescent="0.25">
      <c r="A88" s="12" t="s">
        <v>40</v>
      </c>
      <c r="B88" s="76">
        <f t="shared" si="45"/>
        <v>8890</v>
      </c>
      <c r="C88" s="77"/>
      <c r="D88" s="58" t="s">
        <v>40</v>
      </c>
      <c r="E88" s="76">
        <f t="shared" si="46"/>
        <v>2567</v>
      </c>
      <c r="F88" s="77"/>
      <c r="G88" s="58" t="s">
        <v>40</v>
      </c>
      <c r="H88" s="76">
        <f t="shared" si="47"/>
        <v>2970</v>
      </c>
      <c r="I88" s="77"/>
      <c r="J88" s="58" t="s">
        <v>40</v>
      </c>
      <c r="K88" s="76">
        <f t="shared" si="50"/>
        <v>8890</v>
      </c>
      <c r="L88" s="77"/>
      <c r="M88" s="54" t="s">
        <v>40</v>
      </c>
      <c r="N88" s="78">
        <f t="shared" si="48"/>
        <v>0</v>
      </c>
      <c r="O88" s="79"/>
      <c r="P88" s="45" t="s">
        <v>40</v>
      </c>
    </row>
    <row r="89" spans="1:16" ht="15.75" thickBot="1" x14ac:dyDescent="0.3">
      <c r="A89" s="12" t="s">
        <v>58</v>
      </c>
      <c r="B89" s="76">
        <f t="shared" si="45"/>
        <v>9186</v>
      </c>
      <c r="C89" s="77"/>
      <c r="D89" s="59" t="s">
        <v>58</v>
      </c>
      <c r="E89" s="76">
        <f t="shared" si="46"/>
        <v>2583</v>
      </c>
      <c r="F89" s="77"/>
      <c r="G89" s="59" t="s">
        <v>58</v>
      </c>
      <c r="H89" s="76">
        <f t="shared" si="47"/>
        <v>3321</v>
      </c>
      <c r="I89" s="77"/>
      <c r="J89" s="59" t="s">
        <v>58</v>
      </c>
      <c r="K89" s="76">
        <f t="shared" si="50"/>
        <v>9186</v>
      </c>
      <c r="L89" s="77"/>
      <c r="M89" s="55" t="s">
        <v>58</v>
      </c>
      <c r="N89" s="78">
        <f t="shared" si="48"/>
        <v>0</v>
      </c>
      <c r="O89" s="79"/>
      <c r="P89" s="46" t="s">
        <v>58</v>
      </c>
    </row>
  </sheetData>
  <mergeCells count="72">
    <mergeCell ref="AJ3:AL3"/>
    <mergeCell ref="AN2:AW2"/>
    <mergeCell ref="H84:I84"/>
    <mergeCell ref="H85:I85"/>
    <mergeCell ref="H78:I78"/>
    <mergeCell ref="H80:I80"/>
    <mergeCell ref="H77:I77"/>
    <mergeCell ref="H81:I81"/>
    <mergeCell ref="H82:I82"/>
    <mergeCell ref="H83:I83"/>
    <mergeCell ref="N84:O84"/>
    <mergeCell ref="N85:O85"/>
    <mergeCell ref="N77:O77"/>
    <mergeCell ref="N78:O78"/>
    <mergeCell ref="N80:O80"/>
    <mergeCell ref="B78:C78"/>
    <mergeCell ref="N79:O79"/>
    <mergeCell ref="B79:C79"/>
    <mergeCell ref="H79:I79"/>
    <mergeCell ref="B75:C76"/>
    <mergeCell ref="E75:F76"/>
    <mergeCell ref="H75:I76"/>
    <mergeCell ref="K75:L76"/>
    <mergeCell ref="N75:O76"/>
    <mergeCell ref="B88:C88"/>
    <mergeCell ref="B89:C89"/>
    <mergeCell ref="E77:F77"/>
    <mergeCell ref="E78:F78"/>
    <mergeCell ref="E80:F80"/>
    <mergeCell ref="E81:F81"/>
    <mergeCell ref="E82:F82"/>
    <mergeCell ref="E83:F83"/>
    <mergeCell ref="E84:F84"/>
    <mergeCell ref="E85:F85"/>
    <mergeCell ref="E88:F88"/>
    <mergeCell ref="E89:F89"/>
    <mergeCell ref="B77:C77"/>
    <mergeCell ref="B80:C80"/>
    <mergeCell ref="B81:C81"/>
    <mergeCell ref="B82:C82"/>
    <mergeCell ref="N88:O88"/>
    <mergeCell ref="N89:O89"/>
    <mergeCell ref="H88:I88"/>
    <mergeCell ref="H89:I89"/>
    <mergeCell ref="K77:L77"/>
    <mergeCell ref="K78:L78"/>
    <mergeCell ref="K80:L80"/>
    <mergeCell ref="K81:L81"/>
    <mergeCell ref="K82:L82"/>
    <mergeCell ref="K83:L83"/>
    <mergeCell ref="K84:L84"/>
    <mergeCell ref="K85:L85"/>
    <mergeCell ref="K88:L88"/>
    <mergeCell ref="K89:L89"/>
    <mergeCell ref="N81:O81"/>
    <mergeCell ref="N82:O82"/>
    <mergeCell ref="N86:O86"/>
    <mergeCell ref="N87:O87"/>
    <mergeCell ref="K79:L79"/>
    <mergeCell ref="K86:L86"/>
    <mergeCell ref="K87:L87"/>
    <mergeCell ref="N83:O83"/>
    <mergeCell ref="H86:I86"/>
    <mergeCell ref="H87:I87"/>
    <mergeCell ref="B86:C86"/>
    <mergeCell ref="B87:C87"/>
    <mergeCell ref="E79:F79"/>
    <mergeCell ref="E86:F86"/>
    <mergeCell ref="E87:F87"/>
    <mergeCell ref="B84:C84"/>
    <mergeCell ref="B85:C85"/>
    <mergeCell ref="B83:C83"/>
  </mergeCells>
  <phoneticPr fontId="3" type="noConversion"/>
  <conditionalFormatting sqref="B4:V18">
    <cfRule type="containsErrors" dxfId="14" priority="73">
      <formula>ISERROR(B4)</formula>
    </cfRule>
    <cfRule type="cellIs" dxfId="13" priority="86" operator="greaterThanOrEqual">
      <formula>13</formula>
    </cfRule>
    <cfRule type="cellIs" dxfId="12" priority="87" operator="equal">
      <formula>3</formula>
    </cfRule>
    <cfRule type="cellIs" dxfId="11" priority="88" operator="equal">
      <formula>2</formula>
    </cfRule>
    <cfRule type="cellIs" dxfId="10" priority="89" operator="equal">
      <formula>1</formula>
    </cfRule>
  </conditionalFormatting>
  <conditionalFormatting sqref="AB30:AB33 AB35">
    <cfRule type="colorScale" priority="85">
      <colorScale>
        <cfvo type="min"/>
        <cfvo type="max"/>
        <color rgb="FFFF0000"/>
        <color rgb="FF00B050"/>
      </colorScale>
    </cfRule>
  </conditionalFormatting>
  <conditionalFormatting sqref="B52:W64">
    <cfRule type="cellIs" dxfId="9" priority="74" operator="greaterThanOrEqual">
      <formula>13</formula>
    </cfRule>
    <cfRule type="cellIs" dxfId="8" priority="75" operator="equal">
      <formula>3</formula>
    </cfRule>
    <cfRule type="cellIs" dxfId="7" priority="76" operator="equal">
      <formula>2</formula>
    </cfRule>
    <cfRule type="cellIs" dxfId="6" priority="77" operator="equal">
      <formula>1</formula>
    </cfRule>
  </conditionalFormatting>
  <conditionalFormatting sqref="B37:W49 B21:W33">
    <cfRule type="cellIs" dxfId="5" priority="50" operator="equal">
      <formula>0</formula>
    </cfRule>
  </conditionalFormatting>
  <conditionalFormatting sqref="B77:C89">
    <cfRule type="top10" dxfId="4" priority="135" rank="1"/>
  </conditionalFormatting>
  <conditionalFormatting sqref="E77:F89">
    <cfRule type="top10" dxfId="3" priority="137" rank="1"/>
  </conditionalFormatting>
  <conditionalFormatting sqref="H77:I89">
    <cfRule type="top10" dxfId="2" priority="139" rank="1"/>
  </conditionalFormatting>
  <conditionalFormatting sqref="K77:L89">
    <cfRule type="top10" dxfId="1" priority="141" rank="1"/>
  </conditionalFormatting>
  <conditionalFormatting sqref="N77:O89">
    <cfRule type="top10" dxfId="0" priority="143" rank="1"/>
  </conditionalFormatting>
  <conditionalFormatting sqref="AB37:AB39">
    <cfRule type="colorScale" priority="14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B37:B49">
    <cfRule type="colorScale" priority="14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C37:C49">
    <cfRule type="colorScale" priority="15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D37:D49">
    <cfRule type="colorScale" priority="15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E37:E49">
    <cfRule type="colorScale" priority="15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F37:F49">
    <cfRule type="colorScale" priority="15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G37:G49">
    <cfRule type="colorScale" priority="15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H37:H49">
    <cfRule type="colorScale" priority="16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I37:I49">
    <cfRule type="colorScale" priority="16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J37:J49">
    <cfRule type="colorScale" priority="16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K37:K49">
    <cfRule type="colorScale" priority="16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L37:L49">
    <cfRule type="colorScale" priority="16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M37:M49">
    <cfRule type="colorScale" priority="17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N37:N49">
    <cfRule type="colorScale" priority="17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O37:O49">
    <cfRule type="colorScale" priority="17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P37:P49">
    <cfRule type="colorScale" priority="17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Q37:Q49">
    <cfRule type="colorScale" priority="17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R37:R49">
    <cfRule type="colorScale" priority="18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S37:S49">
    <cfRule type="colorScale" priority="18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T37:T49">
    <cfRule type="colorScale" priority="18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U37:U49">
    <cfRule type="colorScale" priority="18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V37:V49">
    <cfRule type="colorScale" priority="18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W37:W49">
    <cfRule type="colorScale" priority="19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B21:B33">
    <cfRule type="colorScale" priority="23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C21:C33">
    <cfRule type="colorScale" priority="23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D21:D33">
    <cfRule type="colorScale" priority="24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E21:E33">
    <cfRule type="colorScale" priority="24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F21:F33">
    <cfRule type="colorScale" priority="24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G21:G33">
    <cfRule type="colorScale" priority="24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H21:H33">
    <cfRule type="colorScale" priority="24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I21:I33">
    <cfRule type="colorScale" priority="25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J21:J33">
    <cfRule type="colorScale" priority="25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K21:K33">
    <cfRule type="colorScale" priority="25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L21:L33">
    <cfRule type="colorScale" priority="25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M21:M33">
    <cfRule type="colorScale" priority="25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N21:N33">
    <cfRule type="colorScale" priority="26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O21:O33">
    <cfRule type="colorScale" priority="26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P21:P33">
    <cfRule type="colorScale" priority="26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Q21:Q33">
    <cfRule type="colorScale" priority="26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R21:R33">
    <cfRule type="colorScale" priority="26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S21:S33">
    <cfRule type="colorScale" priority="270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T21:T33">
    <cfRule type="colorScale" priority="27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U21:U33">
    <cfRule type="colorScale" priority="274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V21:V33">
    <cfRule type="colorScale" priority="276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W21:W33">
    <cfRule type="colorScale" priority="278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" right="0.7" top="0.75" bottom="0.75" header="0.3" footer="0.3"/>
  <pageSetup paperSize="9" orientation="portrait" r:id="rId1"/>
  <ignoredErrors>
    <ignoredError sqref="B4:V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Nans BEBIN</dc:creator>
  <cp:lastModifiedBy>Nans BEBIN</cp:lastModifiedBy>
  <dcterms:created xsi:type="dcterms:W3CDTF">2019-05-13T07:01:02Z</dcterms:created>
  <dcterms:modified xsi:type="dcterms:W3CDTF">2024-05-27T07:23:33Z</dcterms:modified>
</cp:coreProperties>
</file>